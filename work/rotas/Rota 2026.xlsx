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https://ileapalmcarecouk.sharepoint.com/sites/Management/Shared Documents/General/2. Rotas/"/>
    </mc:Choice>
  </mc:AlternateContent>
  <xr:revisionPtr revIDLastSave="0" documentId="8_{026FE628-A101-424A-B3B6-C4087528131A}" xr6:coauthVersionLast="47" xr6:coauthVersionMax="47" xr10:uidLastSave="{00000000-0000-0000-0000-000000000000}"/>
  <bookViews>
    <workbookView xWindow="-108" yWindow="-108" windowWidth="23256" windowHeight="12456" tabRatio="751" firstSheet="3" activeTab="3" xr2:uid="{00000000-000D-0000-FFFF-FFFF00000000}"/>
  </bookViews>
  <sheets>
    <sheet name="April" sheetId="34" r:id="rId1"/>
    <sheet name="May" sheetId="35" r:id="rId2"/>
    <sheet name="June" sheetId="49" r:id="rId3"/>
    <sheet name="July" sheetId="50" r:id="rId4"/>
    <sheet name="August" sheetId="51" r:id="rId5"/>
    <sheet name="September" sheetId="52" r:id="rId6"/>
    <sheet name="October" sheetId="53" r:id="rId7"/>
    <sheet name="November" sheetId="54" r:id="rId8"/>
    <sheet name="December" sheetId="55" r:id="rId9"/>
    <sheet name="January" sheetId="56" r:id="rId10"/>
    <sheet name="February" sheetId="46" r:id="rId11"/>
    <sheet name="March" sheetId="57" r:id="rId12"/>
    <sheet name="AL &amp; Sleeps" sheetId="58" r:id="rId13"/>
    <sheet name="Quarterly Hours" sheetId="59"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F47" i="34" l="1" a="1"/>
  <c r="AF47" i="34" s="1"/>
  <c r="AF44" i="34" a="1"/>
  <c r="AF44" i="34" s="1"/>
  <c r="AF41" i="34" a="1"/>
  <c r="AF41" i="34" s="1"/>
  <c r="AF38" i="34" a="1"/>
  <c r="AF38" i="34" s="1"/>
  <c r="AF35" i="34" a="1"/>
  <c r="AF35" i="34" s="1"/>
  <c r="AF32" i="34" a="1"/>
  <c r="AF32" i="34" s="1"/>
  <c r="AF29" i="34" a="1"/>
  <c r="AF29" i="34" s="1"/>
  <c r="AF23" i="34" a="1"/>
  <c r="AF23" i="34" s="1"/>
  <c r="AF20" i="34" a="1"/>
  <c r="AF20" i="34" s="1"/>
  <c r="AF17" i="34" a="1"/>
  <c r="AF17" i="34" s="1"/>
  <c r="AF11" i="34" a="1"/>
  <c r="AF11" i="34" s="1"/>
  <c r="AF8" i="34" a="1"/>
  <c r="AF8" i="34" s="1"/>
  <c r="M18" i="59"/>
  <c r="M19" i="59"/>
  <c r="M20" i="59"/>
  <c r="M21" i="59"/>
  <c r="M22" i="59"/>
  <c r="M23" i="59"/>
  <c r="M24" i="59"/>
  <c r="M7" i="59"/>
  <c r="M8" i="59"/>
  <c r="M9" i="59"/>
  <c r="M10" i="59"/>
  <c r="M11" i="59"/>
  <c r="M12" i="59"/>
  <c r="M13" i="59"/>
  <c r="G18" i="59"/>
  <c r="G19" i="59"/>
  <c r="G20" i="59"/>
  <c r="G21" i="59"/>
  <c r="G22" i="59"/>
  <c r="G23" i="59"/>
  <c r="G24" i="59"/>
  <c r="G8" i="59"/>
  <c r="G9" i="59"/>
  <c r="G10" i="59"/>
  <c r="G11" i="59"/>
  <c r="G12" i="59"/>
  <c r="G13" i="59"/>
  <c r="AE22" i="46" l="1"/>
  <c r="AH13" i="51"/>
  <c r="AH13" i="50"/>
  <c r="AG59" i="50"/>
  <c r="AG59" i="57"/>
  <c r="AG59" i="56"/>
  <c r="AG59" i="55"/>
  <c r="AG59" i="53"/>
  <c r="AG59" i="51"/>
  <c r="AF16" i="54"/>
  <c r="AG16" i="54" s="1"/>
  <c r="AF16" i="52"/>
  <c r="AG16" i="52" s="1"/>
  <c r="AF16" i="49"/>
  <c r="AG16" i="49" s="1"/>
  <c r="O32" i="58"/>
  <c r="O30" i="58"/>
  <c r="O29" i="58"/>
  <c r="N32" i="58"/>
  <c r="N30" i="58"/>
  <c r="N29" i="58"/>
  <c r="M32" i="58"/>
  <c r="M30" i="58"/>
  <c r="M29" i="58"/>
  <c r="L32" i="58"/>
  <c r="L30" i="58"/>
  <c r="L29" i="58"/>
  <c r="K32" i="58"/>
  <c r="K30" i="58"/>
  <c r="K29" i="58"/>
  <c r="J32" i="58"/>
  <c r="J30" i="58"/>
  <c r="J29" i="58"/>
  <c r="I32" i="58"/>
  <c r="I30" i="58"/>
  <c r="I29" i="58"/>
  <c r="H32" i="58"/>
  <c r="H29" i="58"/>
  <c r="G29" i="58"/>
  <c r="F32" i="58"/>
  <c r="F30" i="58"/>
  <c r="F29" i="58"/>
  <c r="O27" i="58"/>
  <c r="N27" i="58"/>
  <c r="M27" i="58"/>
  <c r="L27" i="58"/>
  <c r="K27" i="58"/>
  <c r="J27" i="58"/>
  <c r="I27" i="58"/>
  <c r="H27" i="58"/>
  <c r="G27" i="58"/>
  <c r="F27" i="58"/>
  <c r="E30" i="58"/>
  <c r="E27" i="58"/>
  <c r="D33" i="58"/>
  <c r="D30" i="58"/>
  <c r="D29" i="58"/>
  <c r="D27" i="58"/>
  <c r="O13" i="58"/>
  <c r="O11" i="58"/>
  <c r="O10" i="58"/>
  <c r="O8" i="58"/>
  <c r="N13" i="58"/>
  <c r="N11" i="58"/>
  <c r="N10" i="58"/>
  <c r="N8" i="58"/>
  <c r="M13" i="58"/>
  <c r="M11" i="58"/>
  <c r="M10" i="58"/>
  <c r="M8" i="58"/>
  <c r="L13" i="58"/>
  <c r="L11" i="58"/>
  <c r="L10" i="58"/>
  <c r="L8" i="58"/>
  <c r="K13" i="58"/>
  <c r="K11" i="58"/>
  <c r="K10" i="58"/>
  <c r="K8" i="58"/>
  <c r="J13" i="58"/>
  <c r="J11" i="58"/>
  <c r="J10" i="58"/>
  <c r="J8" i="58"/>
  <c r="H13" i="58"/>
  <c r="H10" i="58"/>
  <c r="I16" i="58"/>
  <c r="I15" i="58"/>
  <c r="I14" i="58"/>
  <c r="I13" i="58"/>
  <c r="I12" i="58"/>
  <c r="I11" i="58"/>
  <c r="I10" i="58"/>
  <c r="I9" i="58"/>
  <c r="I8" i="58"/>
  <c r="F11" i="58"/>
  <c r="AG30" i="35"/>
  <c r="E11" i="58"/>
  <c r="P38" i="58"/>
  <c r="G10" i="58"/>
  <c r="H8" i="58"/>
  <c r="AG22" i="49"/>
  <c r="AG10" i="34"/>
  <c r="P27" i="58" l="1"/>
  <c r="F13" i="58" l="1"/>
  <c r="E16" i="58"/>
  <c r="F10" i="58"/>
  <c r="F8" i="58"/>
  <c r="D10" i="58"/>
  <c r="D8" i="58"/>
  <c r="G8" i="58"/>
  <c r="AG56" i="35" l="1"/>
  <c r="AG55" i="35"/>
  <c r="AF10" i="34"/>
  <c r="AF9" i="34"/>
  <c r="AF16" i="34"/>
  <c r="AG16" i="34" s="1"/>
  <c r="AG58" i="57" l="1"/>
  <c r="AH13" i="57" s="1"/>
  <c r="AG57" i="57"/>
  <c r="AG56" i="57"/>
  <c r="AG55" i="57"/>
  <c r="AG53" i="57"/>
  <c r="AG52" i="57"/>
  <c r="AG50" i="57"/>
  <c r="AG49" i="57"/>
  <c r="AG47" i="57"/>
  <c r="AG46" i="57"/>
  <c r="AG44" i="57"/>
  <c r="AG43" i="57"/>
  <c r="AG41" i="57"/>
  <c r="AG40" i="57"/>
  <c r="AG38" i="57"/>
  <c r="AG37" i="57"/>
  <c r="AG35" i="57"/>
  <c r="AG34" i="57"/>
  <c r="AG32" i="57"/>
  <c r="AG31" i="57"/>
  <c r="AH31" i="57" s="1"/>
  <c r="AG30" i="57"/>
  <c r="O16" i="58" s="1"/>
  <c r="AG29" i="57"/>
  <c r="O34" i="58" s="1"/>
  <c r="AG28" i="57"/>
  <c r="AH28" i="57" s="1"/>
  <c r="AG27" i="57"/>
  <c r="O15" i="58" s="1"/>
  <c r="AG26" i="57"/>
  <c r="O33" i="58" s="1"/>
  <c r="AG25" i="57"/>
  <c r="AH25" i="57" s="1"/>
  <c r="AG24" i="57"/>
  <c r="O14" i="58" s="1"/>
  <c r="AG23" i="57"/>
  <c r="AG22" i="57"/>
  <c r="AH22" i="57" s="1"/>
  <c r="AG21" i="57"/>
  <c r="AG20" i="57"/>
  <c r="O31" i="58" s="1"/>
  <c r="AG19" i="57"/>
  <c r="AH19" i="57" s="1"/>
  <c r="AG18" i="57"/>
  <c r="O12" i="58" s="1"/>
  <c r="AG17" i="57"/>
  <c r="AG16" i="57"/>
  <c r="AH16" i="57" s="1"/>
  <c r="AG15" i="57"/>
  <c r="AG14" i="57"/>
  <c r="AG13" i="57"/>
  <c r="AG12" i="57"/>
  <c r="AG11" i="57"/>
  <c r="AG10" i="57"/>
  <c r="AH10" i="57" s="1"/>
  <c r="AG9" i="57"/>
  <c r="AG8" i="57"/>
  <c r="O28" i="58" s="1"/>
  <c r="AG7" i="57"/>
  <c r="AH7" i="57" s="1"/>
  <c r="AG6" i="57"/>
  <c r="O9" i="58" s="1"/>
  <c r="AG5" i="57"/>
  <c r="AG4" i="57"/>
  <c r="AG3" i="57"/>
  <c r="AD44" i="46"/>
  <c r="AD43" i="46"/>
  <c r="AD42" i="46"/>
  <c r="AD41" i="46"/>
  <c r="AD40" i="46"/>
  <c r="AD39" i="46"/>
  <c r="AD50" i="46"/>
  <c r="AD49" i="46"/>
  <c r="AD48" i="46"/>
  <c r="AD47" i="46"/>
  <c r="AD46" i="46"/>
  <c r="AD45" i="46"/>
  <c r="AD38" i="46"/>
  <c r="AD37" i="46"/>
  <c r="AD36" i="46"/>
  <c r="AD35" i="46"/>
  <c r="AD34" i="46"/>
  <c r="AD33" i="46"/>
  <c r="AD53" i="46"/>
  <c r="AD52" i="46"/>
  <c r="AD51" i="46"/>
  <c r="AG58" i="56"/>
  <c r="AH13" i="56" s="1"/>
  <c r="AG57" i="56"/>
  <c r="AG56" i="56"/>
  <c r="AG55" i="56"/>
  <c r="AG53" i="56"/>
  <c r="AG52" i="56"/>
  <c r="AG50" i="56"/>
  <c r="AG49" i="56"/>
  <c r="AG47" i="56"/>
  <c r="AG46" i="56"/>
  <c r="AG44" i="56"/>
  <c r="AG43" i="56"/>
  <c r="AG41" i="56"/>
  <c r="AG40" i="56"/>
  <c r="AG38" i="56"/>
  <c r="AG37" i="56"/>
  <c r="AG35" i="56"/>
  <c r="AG34" i="56"/>
  <c r="AG32" i="56"/>
  <c r="AG31" i="56"/>
  <c r="AH31" i="56" s="1"/>
  <c r="AG30" i="56"/>
  <c r="M16" i="58" s="1"/>
  <c r="AG29" i="56"/>
  <c r="M34" i="58" s="1"/>
  <c r="AG28" i="56"/>
  <c r="AH28" i="56" s="1"/>
  <c r="AG27" i="56"/>
  <c r="M15" i="58" s="1"/>
  <c r="AG26" i="56"/>
  <c r="M33" i="58" s="1"/>
  <c r="AG25" i="56"/>
  <c r="AH25" i="56" s="1"/>
  <c r="AG24" i="56"/>
  <c r="M14" i="58" s="1"/>
  <c r="AG23" i="56"/>
  <c r="AG22" i="56"/>
  <c r="AH22" i="56" s="1"/>
  <c r="AG21" i="56"/>
  <c r="AG20" i="56"/>
  <c r="M31" i="58" s="1"/>
  <c r="AG19" i="56"/>
  <c r="AH19" i="56" s="1"/>
  <c r="AG18" i="56"/>
  <c r="M12" i="58" s="1"/>
  <c r="AG17" i="56"/>
  <c r="AG16" i="56"/>
  <c r="AH16" i="56" s="1"/>
  <c r="AG15" i="56"/>
  <c r="AG14" i="56"/>
  <c r="AG13" i="56"/>
  <c r="AG12" i="56"/>
  <c r="AG11" i="56"/>
  <c r="AG10" i="56"/>
  <c r="AH10" i="56" s="1"/>
  <c r="AG9" i="56"/>
  <c r="AG8" i="56"/>
  <c r="M28" i="58" s="1"/>
  <c r="AG7" i="56"/>
  <c r="AH7" i="56" s="1"/>
  <c r="AG6" i="56"/>
  <c r="M9" i="58" s="1"/>
  <c r="AG5" i="56"/>
  <c r="AG4" i="56"/>
  <c r="AG3" i="56"/>
  <c r="AG58" i="55"/>
  <c r="AH13" i="55" s="1"/>
  <c r="AG57" i="55"/>
  <c r="AG56" i="55"/>
  <c r="AG55" i="55"/>
  <c r="AG53" i="55"/>
  <c r="AG52" i="55"/>
  <c r="AG50" i="55"/>
  <c r="AG49" i="55"/>
  <c r="AG47" i="55"/>
  <c r="AG46" i="55"/>
  <c r="AG44" i="55"/>
  <c r="AG43" i="55"/>
  <c r="AG41" i="55"/>
  <c r="AG40" i="55"/>
  <c r="AG38" i="55"/>
  <c r="AG37" i="55"/>
  <c r="AG35" i="55"/>
  <c r="AG34" i="55"/>
  <c r="AG32" i="55"/>
  <c r="AG31" i="55"/>
  <c r="AH31" i="55" s="1"/>
  <c r="AG30" i="55"/>
  <c r="L16" i="58" s="1"/>
  <c r="AG29" i="55"/>
  <c r="L34" i="58" s="1"/>
  <c r="AG28" i="55"/>
  <c r="AH28" i="55" s="1"/>
  <c r="AG27" i="55"/>
  <c r="L15" i="58" s="1"/>
  <c r="AG26" i="55"/>
  <c r="L33" i="58" s="1"/>
  <c r="AG25" i="55"/>
  <c r="AH25" i="55" s="1"/>
  <c r="AG24" i="55"/>
  <c r="L14" i="58" s="1"/>
  <c r="AG23" i="55"/>
  <c r="AG22" i="55"/>
  <c r="AH22" i="55" s="1"/>
  <c r="AG21" i="55"/>
  <c r="AG20" i="55"/>
  <c r="L31" i="58" s="1"/>
  <c r="AG19" i="55"/>
  <c r="AH19" i="55" s="1"/>
  <c r="AG18" i="55"/>
  <c r="L12" i="58" s="1"/>
  <c r="AG17" i="55"/>
  <c r="AG16" i="55"/>
  <c r="AH16" i="55" s="1"/>
  <c r="AG15" i="55"/>
  <c r="AG14" i="55"/>
  <c r="AG13" i="55"/>
  <c r="AG12" i="55"/>
  <c r="AG11" i="55"/>
  <c r="AG10" i="55"/>
  <c r="AH10" i="55" s="1"/>
  <c r="AG9" i="55"/>
  <c r="AG8" i="55"/>
  <c r="L28" i="58" s="1"/>
  <c r="AG7" i="55"/>
  <c r="AH7" i="55" s="1"/>
  <c r="AG6" i="55"/>
  <c r="L9" i="58" s="1"/>
  <c r="AG5" i="55"/>
  <c r="AG4" i="55"/>
  <c r="AG3" i="55"/>
  <c r="AF65" i="54"/>
  <c r="AF64" i="54"/>
  <c r="AF63" i="54"/>
  <c r="AF62" i="54"/>
  <c r="AF61" i="54"/>
  <c r="AF60" i="54"/>
  <c r="AF59" i="54"/>
  <c r="AF58" i="54"/>
  <c r="AF57" i="54"/>
  <c r="AF56" i="54"/>
  <c r="AF55" i="54"/>
  <c r="AF54" i="54"/>
  <c r="AF53" i="54"/>
  <c r="AF52" i="54"/>
  <c r="AF51" i="54"/>
  <c r="AF50" i="54"/>
  <c r="AF49" i="54"/>
  <c r="AF48" i="54"/>
  <c r="AF47" i="54"/>
  <c r="AF46" i="54"/>
  <c r="AF45" i="54"/>
  <c r="AF44" i="54"/>
  <c r="AF43" i="54"/>
  <c r="AF42" i="54"/>
  <c r="AF41" i="54"/>
  <c r="AF40" i="54"/>
  <c r="AF39" i="54"/>
  <c r="AF38" i="54"/>
  <c r="AF37" i="54"/>
  <c r="AF36" i="54"/>
  <c r="AF35" i="54"/>
  <c r="AF34" i="54"/>
  <c r="AF33" i="54"/>
  <c r="AF32" i="54"/>
  <c r="AF31" i="54"/>
  <c r="AG31" i="54" s="1"/>
  <c r="AF30" i="54"/>
  <c r="K16" i="58" s="1"/>
  <c r="AF29" i="54"/>
  <c r="K34" i="58" s="1"/>
  <c r="AF28" i="54"/>
  <c r="AG28" i="54" s="1"/>
  <c r="AF27" i="54"/>
  <c r="K15" i="58" s="1"/>
  <c r="AF26" i="54"/>
  <c r="K33" i="58" s="1"/>
  <c r="AF25" i="54"/>
  <c r="AG25" i="54" s="1"/>
  <c r="AF24" i="54"/>
  <c r="K14" i="58" s="1"/>
  <c r="AF23" i="54"/>
  <c r="AF22" i="54"/>
  <c r="AG22" i="54" s="1"/>
  <c r="AF21" i="54"/>
  <c r="AF20" i="54"/>
  <c r="K31" i="58" s="1"/>
  <c r="AF19" i="54"/>
  <c r="AG19" i="54" s="1"/>
  <c r="AF18" i="54"/>
  <c r="K12" i="58" s="1"/>
  <c r="AF17" i="54"/>
  <c r="AF15" i="54"/>
  <c r="AF14" i="54"/>
  <c r="AF13" i="54"/>
  <c r="AF12" i="54"/>
  <c r="AF11" i="54"/>
  <c r="AF10" i="54"/>
  <c r="AG10" i="54" s="1"/>
  <c r="AF9" i="54"/>
  <c r="AF8" i="54"/>
  <c r="K28" i="58" s="1"/>
  <c r="AF7" i="54"/>
  <c r="AG7" i="54" s="1"/>
  <c r="AF6" i="54"/>
  <c r="K9" i="58" s="1"/>
  <c r="AF5" i="54"/>
  <c r="AF4" i="54"/>
  <c r="AF3" i="54"/>
  <c r="AG58" i="53"/>
  <c r="AH13" i="53" s="1"/>
  <c r="AG57" i="53"/>
  <c r="AG56" i="53"/>
  <c r="AG55" i="53"/>
  <c r="AG53" i="53"/>
  <c r="AG52" i="53"/>
  <c r="AG50" i="53"/>
  <c r="AG49" i="53"/>
  <c r="AG47" i="53"/>
  <c r="AG46" i="53"/>
  <c r="AG44" i="53"/>
  <c r="AG43" i="53"/>
  <c r="AG41" i="53"/>
  <c r="AG40" i="53"/>
  <c r="AG38" i="53"/>
  <c r="AG37" i="53"/>
  <c r="AG35" i="53"/>
  <c r="AG34" i="53"/>
  <c r="AG32" i="53"/>
  <c r="AG31" i="53"/>
  <c r="AH31" i="53" s="1"/>
  <c r="AG30" i="53"/>
  <c r="J16" i="58" s="1"/>
  <c r="AG29" i="53"/>
  <c r="J34" i="58" s="1"/>
  <c r="AG28" i="53"/>
  <c r="AH28" i="53" s="1"/>
  <c r="AG27" i="53"/>
  <c r="J15" i="58" s="1"/>
  <c r="AG26" i="53"/>
  <c r="J33" i="58" s="1"/>
  <c r="AG25" i="53"/>
  <c r="AH25" i="53" s="1"/>
  <c r="AG24" i="53"/>
  <c r="J14" i="58" s="1"/>
  <c r="AG23" i="53"/>
  <c r="AG22" i="53"/>
  <c r="AH22" i="53" s="1"/>
  <c r="AG21" i="53"/>
  <c r="AG20" i="53"/>
  <c r="J31" i="58" s="1"/>
  <c r="AG19" i="53"/>
  <c r="AH19" i="53" s="1"/>
  <c r="AG18" i="53"/>
  <c r="J12" i="58" s="1"/>
  <c r="AG17" i="53"/>
  <c r="AG16" i="53"/>
  <c r="AH16" i="53" s="1"/>
  <c r="AG15" i="53"/>
  <c r="AG14" i="53"/>
  <c r="AG13" i="53"/>
  <c r="AG12" i="53"/>
  <c r="AG11" i="53"/>
  <c r="AG10" i="53"/>
  <c r="AH10" i="53" s="1"/>
  <c r="AG9" i="53"/>
  <c r="AG8" i="53"/>
  <c r="J28" i="58" s="1"/>
  <c r="AG7" i="53"/>
  <c r="AH7" i="53" s="1"/>
  <c r="AG6" i="53"/>
  <c r="J9" i="58" s="1"/>
  <c r="AG5" i="53"/>
  <c r="AG4" i="53"/>
  <c r="AG3" i="53"/>
  <c r="AF65" i="52"/>
  <c r="AF64" i="52"/>
  <c r="AF63" i="52"/>
  <c r="AF62" i="52"/>
  <c r="AF61" i="52"/>
  <c r="AF60" i="52"/>
  <c r="AF59" i="52"/>
  <c r="AF58" i="52"/>
  <c r="AF57" i="52"/>
  <c r="AF56" i="52"/>
  <c r="AF55" i="52"/>
  <c r="AF54" i="52"/>
  <c r="AF53" i="52"/>
  <c r="AF52" i="52"/>
  <c r="AF51" i="52"/>
  <c r="AF50" i="52"/>
  <c r="AF49" i="52"/>
  <c r="AF48" i="52"/>
  <c r="AF47" i="52"/>
  <c r="AF46" i="52"/>
  <c r="AF45" i="52"/>
  <c r="AF44" i="52"/>
  <c r="AF43" i="52"/>
  <c r="AF42" i="52"/>
  <c r="AF41" i="52"/>
  <c r="AF40" i="52"/>
  <c r="AF39" i="52"/>
  <c r="AF38" i="52"/>
  <c r="AF37" i="52"/>
  <c r="AF36" i="52"/>
  <c r="AF35" i="52"/>
  <c r="AF34" i="52"/>
  <c r="AF33" i="52"/>
  <c r="AF32" i="52"/>
  <c r="AF31" i="52"/>
  <c r="AG31" i="52" s="1"/>
  <c r="AF30" i="52"/>
  <c r="AF29" i="52"/>
  <c r="AF28" i="52"/>
  <c r="AG28" i="52" s="1"/>
  <c r="AF27" i="52"/>
  <c r="AF26" i="52"/>
  <c r="I33" i="58" s="1"/>
  <c r="AF25" i="52"/>
  <c r="AG25" i="52" s="1"/>
  <c r="AF24" i="52"/>
  <c r="AF23" i="52"/>
  <c r="AF22" i="52"/>
  <c r="AG22" i="52" s="1"/>
  <c r="AF21" i="52"/>
  <c r="AF20" i="52"/>
  <c r="AF19" i="52"/>
  <c r="AG19" i="52" s="1"/>
  <c r="AF18" i="52"/>
  <c r="AF17" i="52"/>
  <c r="AF15" i="52"/>
  <c r="AF14" i="52"/>
  <c r="AF13" i="52"/>
  <c r="AF12" i="52"/>
  <c r="AF11" i="52"/>
  <c r="AF10" i="52"/>
  <c r="AG10" i="52" s="1"/>
  <c r="AF9" i="52"/>
  <c r="AF8" i="52"/>
  <c r="I28" i="58" s="1"/>
  <c r="AF7" i="52"/>
  <c r="AG7" i="52" s="1"/>
  <c r="AF6" i="52"/>
  <c r="AF5" i="52"/>
  <c r="AF4" i="52"/>
  <c r="AF3" i="52"/>
  <c r="AG58" i="51"/>
  <c r="AG57" i="51"/>
  <c r="AG56" i="51"/>
  <c r="AG55" i="51"/>
  <c r="AG53" i="51"/>
  <c r="AG52" i="51"/>
  <c r="AG50" i="51"/>
  <c r="AG49" i="51"/>
  <c r="AG47" i="51"/>
  <c r="AG46" i="51"/>
  <c r="AG44" i="51"/>
  <c r="AG43" i="51"/>
  <c r="AG41" i="51"/>
  <c r="AG40" i="51"/>
  <c r="AG38" i="51"/>
  <c r="AG37" i="51"/>
  <c r="AG35" i="51"/>
  <c r="AG34" i="51"/>
  <c r="AG32" i="51"/>
  <c r="H35" i="58" s="1"/>
  <c r="AG31" i="51"/>
  <c r="AH31" i="51" s="1"/>
  <c r="AG30" i="51"/>
  <c r="H16" i="58" s="1"/>
  <c r="AG29" i="51"/>
  <c r="H34" i="58" s="1"/>
  <c r="AG28" i="51"/>
  <c r="AH28" i="51" s="1"/>
  <c r="AG27" i="51"/>
  <c r="H15" i="58" s="1"/>
  <c r="AG26" i="51"/>
  <c r="H33" i="58" s="1"/>
  <c r="AG25" i="51"/>
  <c r="AH25" i="51" s="1"/>
  <c r="AG24" i="51"/>
  <c r="H14" i="58" s="1"/>
  <c r="AG23" i="51"/>
  <c r="AG22" i="51"/>
  <c r="AH22" i="51" s="1"/>
  <c r="AG21" i="51"/>
  <c r="AG20" i="51"/>
  <c r="H31" i="58" s="1"/>
  <c r="AG19" i="51"/>
  <c r="AH19" i="51" s="1"/>
  <c r="AG18" i="51"/>
  <c r="H12" i="58" s="1"/>
  <c r="AG17" i="51"/>
  <c r="AG16" i="51"/>
  <c r="AH16" i="51" s="1"/>
  <c r="AG15" i="51"/>
  <c r="H11" i="58" s="1"/>
  <c r="AG14" i="51"/>
  <c r="AG13" i="51"/>
  <c r="AG12" i="51"/>
  <c r="AG11" i="51"/>
  <c r="AG10" i="51"/>
  <c r="AH10" i="51" s="1"/>
  <c r="AG9" i="51"/>
  <c r="AG8" i="51"/>
  <c r="H28" i="58" s="1"/>
  <c r="AG7" i="51"/>
  <c r="AH7" i="51" s="1"/>
  <c r="AG6" i="51"/>
  <c r="H9" i="58" s="1"/>
  <c r="AG5" i="51"/>
  <c r="AG4" i="51"/>
  <c r="AG3" i="51"/>
  <c r="AG58" i="50"/>
  <c r="AG57" i="50"/>
  <c r="AG56" i="50"/>
  <c r="AG55" i="50"/>
  <c r="AG53" i="50"/>
  <c r="AG52" i="50"/>
  <c r="AG50" i="50"/>
  <c r="AG49" i="50"/>
  <c r="AG47" i="50"/>
  <c r="AG46" i="50"/>
  <c r="AG44" i="50"/>
  <c r="AG43" i="50"/>
  <c r="AG41" i="50"/>
  <c r="AG40" i="50"/>
  <c r="AG38" i="50"/>
  <c r="AG37" i="50"/>
  <c r="AG35" i="50"/>
  <c r="AG34" i="50"/>
  <c r="AG32" i="50"/>
  <c r="G35" i="58" s="1"/>
  <c r="AG31" i="50"/>
  <c r="AH31" i="50" s="1"/>
  <c r="AG30" i="50"/>
  <c r="G16" i="58" s="1"/>
  <c r="AG29" i="50"/>
  <c r="G34" i="58" s="1"/>
  <c r="AG28" i="50"/>
  <c r="AH28" i="50" s="1"/>
  <c r="AG27" i="50"/>
  <c r="G15" i="58" s="1"/>
  <c r="AG26" i="50"/>
  <c r="G33" i="58" s="1"/>
  <c r="AG25" i="50"/>
  <c r="AH25" i="50" s="1"/>
  <c r="AG24" i="50"/>
  <c r="G14" i="58" s="1"/>
  <c r="AG23" i="50"/>
  <c r="G32" i="58" s="1"/>
  <c r="AG22" i="50"/>
  <c r="AH22" i="50" s="1"/>
  <c r="AG21" i="50"/>
  <c r="G13" i="58" s="1"/>
  <c r="AG20" i="50"/>
  <c r="G31" i="58" s="1"/>
  <c r="AG19" i="50"/>
  <c r="AH19" i="50" s="1"/>
  <c r="AG18" i="50"/>
  <c r="G12" i="58" s="1"/>
  <c r="AG17" i="50"/>
  <c r="AG16" i="50"/>
  <c r="AH16" i="50" s="1"/>
  <c r="AG15" i="50"/>
  <c r="G11" i="58" s="1"/>
  <c r="AG14" i="50"/>
  <c r="AG13" i="50"/>
  <c r="AG12" i="50"/>
  <c r="AG11" i="50"/>
  <c r="AG10" i="50"/>
  <c r="AH10" i="50" s="1"/>
  <c r="AG9" i="50"/>
  <c r="AG8" i="50"/>
  <c r="G28" i="58" s="1"/>
  <c r="AG7" i="50"/>
  <c r="AH7" i="50" s="1"/>
  <c r="AG6" i="50"/>
  <c r="G9" i="58" s="1"/>
  <c r="AG5" i="50"/>
  <c r="AG4" i="50"/>
  <c r="AG3" i="50"/>
  <c r="AF65" i="49"/>
  <c r="AF64" i="49"/>
  <c r="AF63" i="49"/>
  <c r="AF62" i="49"/>
  <c r="AF61" i="49"/>
  <c r="AF60" i="49"/>
  <c r="AF59" i="49"/>
  <c r="AF58" i="49"/>
  <c r="AF57" i="49"/>
  <c r="AF56" i="49"/>
  <c r="AF55" i="49"/>
  <c r="AF54" i="49"/>
  <c r="AF53" i="49"/>
  <c r="AF52" i="49"/>
  <c r="AF51" i="49"/>
  <c r="AF50" i="49"/>
  <c r="AF49" i="49"/>
  <c r="AF48" i="49"/>
  <c r="AF47" i="49"/>
  <c r="AF46" i="49"/>
  <c r="AF45" i="49"/>
  <c r="AF44" i="49"/>
  <c r="AF43" i="49"/>
  <c r="AF42" i="49"/>
  <c r="AF41" i="49"/>
  <c r="AF40" i="49"/>
  <c r="AF39" i="49"/>
  <c r="AF38" i="49"/>
  <c r="AF37" i="49"/>
  <c r="AF36" i="49"/>
  <c r="AF35" i="49"/>
  <c r="AF34" i="49"/>
  <c r="AF33" i="49"/>
  <c r="AF32" i="49"/>
  <c r="F35" i="58" s="1"/>
  <c r="AF31" i="49"/>
  <c r="AG31" i="49" s="1"/>
  <c r="AF30" i="49"/>
  <c r="F16" i="58" s="1"/>
  <c r="AF29" i="49"/>
  <c r="F34" i="58" s="1"/>
  <c r="AF28" i="49"/>
  <c r="AG28" i="49" s="1"/>
  <c r="AF27" i="49"/>
  <c r="F15" i="58" s="1"/>
  <c r="AF26" i="49"/>
  <c r="F33" i="58" s="1"/>
  <c r="AF25" i="49"/>
  <c r="AG25" i="49" s="1"/>
  <c r="AF24" i="49"/>
  <c r="F14" i="58" s="1"/>
  <c r="AF23" i="49"/>
  <c r="AF22" i="49"/>
  <c r="AF21" i="49"/>
  <c r="AF20" i="49"/>
  <c r="AF19" i="49"/>
  <c r="AG19" i="49" s="1"/>
  <c r="AF18" i="49"/>
  <c r="F12" i="58" s="1"/>
  <c r="AF17" i="49"/>
  <c r="AF15" i="49"/>
  <c r="AF14" i="49"/>
  <c r="AF13" i="49"/>
  <c r="AG13" i="49" s="1"/>
  <c r="AF12" i="49"/>
  <c r="AF11" i="49"/>
  <c r="AF10" i="49"/>
  <c r="AG10" i="49" s="1"/>
  <c r="AF9" i="49"/>
  <c r="AF8" i="49"/>
  <c r="F28" i="58" s="1"/>
  <c r="AF7" i="49"/>
  <c r="AG7" i="49" s="1"/>
  <c r="AF6" i="49"/>
  <c r="F9" i="58" s="1"/>
  <c r="AF5" i="49"/>
  <c r="AF4" i="49"/>
  <c r="AF3" i="49"/>
  <c r="AG41" i="35"/>
  <c r="AG40" i="35"/>
  <c r="AG38" i="35"/>
  <c r="AG37" i="35"/>
  <c r="AG47" i="35"/>
  <c r="AG46" i="35"/>
  <c r="AG44" i="35"/>
  <c r="AG43" i="35"/>
  <c r="AG35" i="35"/>
  <c r="AG34" i="35"/>
  <c r="AG32" i="35"/>
  <c r="E35" i="58" s="1"/>
  <c r="AG31" i="35"/>
  <c r="AH31" i="35" s="1"/>
  <c r="AG50" i="35"/>
  <c r="AG49" i="35"/>
  <c r="AF56" i="34"/>
  <c r="AF55" i="34"/>
  <c r="AF54" i="34"/>
  <c r="AF53" i="34"/>
  <c r="AF52" i="34"/>
  <c r="AF51" i="34"/>
  <c r="AF50" i="34"/>
  <c r="AF49" i="34"/>
  <c r="AF48" i="34"/>
  <c r="AF46" i="34"/>
  <c r="AF45" i="34"/>
  <c r="AF43" i="34"/>
  <c r="AF42" i="34"/>
  <c r="AF40" i="34"/>
  <c r="AF39" i="34"/>
  <c r="AF59" i="34"/>
  <c r="AF58" i="34"/>
  <c r="AF57" i="34"/>
  <c r="AF37" i="34"/>
  <c r="AF36" i="34"/>
  <c r="AF18" i="34"/>
  <c r="D12" i="58" s="1"/>
  <c r="AF19" i="34"/>
  <c r="AG19" i="34" s="1"/>
  <c r="D31" i="58"/>
  <c r="AF5" i="34"/>
  <c r="AF4" i="34"/>
  <c r="AF3" i="34"/>
  <c r="I34" i="58" l="1"/>
  <c r="I31" i="58"/>
  <c r="O35" i="58"/>
  <c r="AG2" i="57"/>
  <c r="M35" i="58"/>
  <c r="AG2" i="56"/>
  <c r="AG2" i="55"/>
  <c r="L35" i="58"/>
  <c r="K35" i="58"/>
  <c r="AF2" i="54"/>
  <c r="J35" i="58"/>
  <c r="AG2" i="53"/>
  <c r="AF2" i="52"/>
  <c r="I35" i="58"/>
  <c r="F31" i="58"/>
  <c r="AF2" i="49"/>
  <c r="AG2" i="51"/>
  <c r="H30" i="58"/>
  <c r="AG2" i="50"/>
  <c r="G30" i="58"/>
  <c r="P30" i="58" s="1"/>
  <c r="D28" i="58"/>
  <c r="AG20" i="35"/>
  <c r="E31" i="58" s="1"/>
  <c r="AG5" i="35"/>
  <c r="AG29" i="35"/>
  <c r="E34" i="58" s="1"/>
  <c r="AG27" i="35"/>
  <c r="E15" i="58" s="1"/>
  <c r="AG24" i="35"/>
  <c r="E14" i="58" s="1"/>
  <c r="AG21" i="35"/>
  <c r="E13" i="58" s="1"/>
  <c r="AG18" i="35"/>
  <c r="E12" i="58" s="1"/>
  <c r="AG15" i="35"/>
  <c r="AG12" i="35"/>
  <c r="AG9" i="35"/>
  <c r="E10" i="58" s="1"/>
  <c r="P10" i="58" s="1"/>
  <c r="Q10" i="58" s="1"/>
  <c r="AG6" i="35"/>
  <c r="E9" i="58" s="1"/>
  <c r="AG3" i="35"/>
  <c r="E8" i="58" s="1"/>
  <c r="AD23" i="46"/>
  <c r="AD57" i="46"/>
  <c r="AD54" i="46"/>
  <c r="AD30" i="46"/>
  <c r="N16" i="58" s="1"/>
  <c r="AD27" i="46"/>
  <c r="N15" i="58" s="1"/>
  <c r="AD24" i="46"/>
  <c r="N14" i="58" s="1"/>
  <c r="AD21" i="46"/>
  <c r="AD18" i="46"/>
  <c r="N12" i="58" s="1"/>
  <c r="AD15" i="46"/>
  <c r="AD12" i="46"/>
  <c r="AD9" i="46"/>
  <c r="AD6" i="46"/>
  <c r="N9" i="58" s="1"/>
  <c r="AD3" i="46"/>
  <c r="AF63" i="34"/>
  <c r="AF60" i="34"/>
  <c r="AF33" i="34"/>
  <c r="AF30" i="34"/>
  <c r="D16" i="58" s="1"/>
  <c r="AF27" i="34"/>
  <c r="D15" i="58" s="1"/>
  <c r="AF24" i="34"/>
  <c r="D14" i="58" s="1"/>
  <c r="AF21" i="34"/>
  <c r="D13" i="58" s="1"/>
  <c r="AF15" i="34"/>
  <c r="D11" i="58" s="1"/>
  <c r="AF12" i="34"/>
  <c r="AF6" i="34"/>
  <c r="D9" i="58" s="1"/>
  <c r="AG28" i="35"/>
  <c r="AH28" i="35" s="1"/>
  <c r="AG13" i="35"/>
  <c r="AH13" i="35" s="1"/>
  <c r="AG14" i="35"/>
  <c r="AD58" i="46"/>
  <c r="AE13" i="46" s="1"/>
  <c r="AD55" i="46"/>
  <c r="AD31" i="46"/>
  <c r="AE31" i="46" s="1"/>
  <c r="AD28" i="46"/>
  <c r="AE28" i="46" s="1"/>
  <c r="AD25" i="46"/>
  <c r="AE25" i="46" s="1"/>
  <c r="AD22" i="46"/>
  <c r="AD19" i="46"/>
  <c r="AE19" i="46" s="1"/>
  <c r="AD16" i="46"/>
  <c r="AE16" i="46" s="1"/>
  <c r="AD13" i="46"/>
  <c r="AD10" i="46"/>
  <c r="AE10" i="46" s="1"/>
  <c r="AD7" i="46"/>
  <c r="AE7" i="46" s="1"/>
  <c r="AD4" i="46"/>
  <c r="AG4" i="35"/>
  <c r="AG52" i="35"/>
  <c r="AG25" i="35"/>
  <c r="AH25" i="35" s="1"/>
  <c r="AG22" i="35"/>
  <c r="AH22" i="35" s="1"/>
  <c r="AG19" i="35"/>
  <c r="AH19" i="35" s="1"/>
  <c r="AG16" i="35"/>
  <c r="AH16" i="35" s="1"/>
  <c r="AG10" i="35"/>
  <c r="AG7" i="35"/>
  <c r="AH7" i="35" s="1"/>
  <c r="AD26" i="46"/>
  <c r="N33" i="58" s="1"/>
  <c r="P12" i="58" l="1"/>
  <c r="Q12" i="58" s="1"/>
  <c r="AH10" i="35"/>
  <c r="G7" i="59"/>
  <c r="P16" i="58"/>
  <c r="Q16" i="58" s="1"/>
  <c r="P9" i="58"/>
  <c r="Q9" i="58" s="1"/>
  <c r="P13" i="58"/>
  <c r="Q13" i="58" s="1"/>
  <c r="P15" i="58"/>
  <c r="Q15" i="58" s="1"/>
  <c r="AD59" i="46"/>
  <c r="AD56" i="46"/>
  <c r="AD32" i="46"/>
  <c r="AD29" i="46"/>
  <c r="N34" i="58" s="1"/>
  <c r="AD20" i="46"/>
  <c r="N31" i="58" s="1"/>
  <c r="P31" i="58" s="1"/>
  <c r="AD17" i="46"/>
  <c r="AD14" i="46"/>
  <c r="AD11" i="46"/>
  <c r="AD8" i="46"/>
  <c r="N28" i="58" s="1"/>
  <c r="AD5" i="46"/>
  <c r="AG53" i="35"/>
  <c r="AG26" i="35"/>
  <c r="AG23" i="35"/>
  <c r="E32" i="58" s="1"/>
  <c r="AG17" i="35"/>
  <c r="AG11" i="35"/>
  <c r="E29" i="58" s="1"/>
  <c r="P29" i="58" s="1"/>
  <c r="AG8" i="35"/>
  <c r="E28" i="58" s="1"/>
  <c r="P28" i="58" s="1"/>
  <c r="AF26" i="34"/>
  <c r="AF14" i="34"/>
  <c r="AF65" i="34"/>
  <c r="AF62" i="34"/>
  <c r="D35" i="58"/>
  <c r="D34" i="58"/>
  <c r="D32" i="58"/>
  <c r="AF61" i="34"/>
  <c r="AF64" i="34"/>
  <c r="P34" i="58" l="1"/>
  <c r="P32" i="58"/>
  <c r="AG2" i="35"/>
  <c r="E33" i="58"/>
  <c r="P33" i="58" s="1"/>
  <c r="N35" i="58"/>
  <c r="P35" i="58" s="1"/>
  <c r="AD2" i="46"/>
  <c r="AF2" i="34"/>
  <c r="AF34" i="34"/>
  <c r="AF31" i="34"/>
  <c r="AG31" i="34" s="1"/>
  <c r="AF28" i="34"/>
  <c r="AG28" i="34" s="1"/>
  <c r="AF25" i="34"/>
  <c r="AG25" i="34" s="1"/>
  <c r="AF22" i="34"/>
  <c r="AG22" i="34" s="1"/>
  <c r="AF13" i="34" l="1"/>
  <c r="AG13" i="34" s="1"/>
  <c r="AF7" i="34" l="1"/>
  <c r="AG7" i="34" s="1"/>
  <c r="P11" i="58" l="1"/>
  <c r="Q11" i="58" s="1"/>
  <c r="P8" i="58"/>
  <c r="Q8" i="58" s="1"/>
  <c r="P14" i="58" l="1"/>
  <c r="Q14" i="5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tc={B2927B31-9D54-194C-AEA7-D9E6D78638EB}</author>
  </authors>
  <commentList>
    <comment ref="AC30" authorId="0" shapeId="0" xr:uid="{B2927B31-9D54-194C-AEA7-D9E6D78638EB}">
      <text>
        <t>[Threaded comment]
Your version of Excel allows you to read this threaded comment; however, any edits to it will get removed if the file is opened in a newer version of Excel. Learn more: https://go.microsoft.com/fwlink/?linkid=870924
Comment:
    I put this here for you in case you wanted to keep it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<sst xmlns="http://schemas.openxmlformats.org/spreadsheetml/2006/main" count="2439" uniqueCount="132">
  <si>
    <t>Bodkin Way</t>
  </si>
  <si>
    <t>ASI</t>
  </si>
  <si>
    <t>Over/Under</t>
  </si>
  <si>
    <t>April</t>
  </si>
  <si>
    <t>W</t>
  </si>
  <si>
    <t>TH</t>
  </si>
  <si>
    <t>F</t>
  </si>
  <si>
    <t>S</t>
  </si>
  <si>
    <t>SU</t>
  </si>
  <si>
    <t>M</t>
  </si>
  <si>
    <t>T</t>
  </si>
  <si>
    <t>Hours</t>
  </si>
  <si>
    <t>Ellen</t>
  </si>
  <si>
    <t>A</t>
  </si>
  <si>
    <t>Middleton</t>
  </si>
  <si>
    <t>RM</t>
  </si>
  <si>
    <t>Charlotte</t>
  </si>
  <si>
    <t>D</t>
  </si>
  <si>
    <t>DS</t>
  </si>
  <si>
    <t>Watson</t>
  </si>
  <si>
    <t>DM</t>
  </si>
  <si>
    <t>Philip</t>
  </si>
  <si>
    <t>Thomas</t>
  </si>
  <si>
    <t>SRSW</t>
  </si>
  <si>
    <t>Michelle</t>
  </si>
  <si>
    <t>McSporran</t>
  </si>
  <si>
    <t>Jack</t>
  </si>
  <si>
    <t>McMahon</t>
  </si>
  <si>
    <t>Q. RSW</t>
  </si>
  <si>
    <t>Sarah</t>
  </si>
  <si>
    <t>Newson</t>
  </si>
  <si>
    <t>Sam</t>
  </si>
  <si>
    <t>*</t>
  </si>
  <si>
    <t>Lawrence</t>
  </si>
  <si>
    <t>UQ. RSW</t>
  </si>
  <si>
    <t>Olivia</t>
  </si>
  <si>
    <t>Machnik</t>
  </si>
  <si>
    <t>James</t>
  </si>
  <si>
    <t>Logan</t>
  </si>
  <si>
    <t>Bank</t>
  </si>
  <si>
    <t>CR</t>
  </si>
  <si>
    <t>CH</t>
  </si>
  <si>
    <t>Annual Leave 07:30 - 22:30</t>
  </si>
  <si>
    <t>D = Day Work Period 07:30 - 22:30</t>
  </si>
  <si>
    <t xml:space="preserve">       CH = Contract Hours</t>
  </si>
  <si>
    <t>Training</t>
  </si>
  <si>
    <t>On Call 17:00 - 07:30</t>
  </si>
  <si>
    <t>S = Sleep In 22:30 - 07:30</t>
  </si>
  <si>
    <t xml:space="preserve">                ASI = Accumulated Sleep ins</t>
  </si>
  <si>
    <t>Team Meeting 10:00 - 14:00 / Seniors Meeting  09:00</t>
  </si>
  <si>
    <t>A = Admin Hours 09:00 - 17:00</t>
  </si>
  <si>
    <t>Induction 09:00 - 17:00</t>
  </si>
  <si>
    <t>L = Late Work Period 12:00 - 22:30</t>
  </si>
  <si>
    <t>Observation Day</t>
  </si>
  <si>
    <t>E = Early Work Period 07:30 - 12:30</t>
  </si>
  <si>
    <t>Emergency First Aid At Work Qualified/Fire Warden</t>
  </si>
  <si>
    <t>* = Requested day off</t>
  </si>
  <si>
    <t>SRSW Cover Required</t>
  </si>
  <si>
    <t>UQ. = Unqualfied / Q. = Qualfied |</t>
  </si>
  <si>
    <t>TBC = To be confirmed</t>
  </si>
  <si>
    <t>RSW Cover or SRSW Required</t>
  </si>
  <si>
    <t>CR = Cover Required</t>
  </si>
  <si>
    <t>Maternity Leave</t>
  </si>
  <si>
    <t>? =Let management know about picking this up</t>
  </si>
  <si>
    <t>RM - Registered Manager</t>
  </si>
  <si>
    <t>DM = Deputy Manager</t>
  </si>
  <si>
    <t>SRSW = Senior Residential Support Worker</t>
  </si>
  <si>
    <t>RSW = Residential Support Worker</t>
  </si>
  <si>
    <t>A =Acting</t>
  </si>
  <si>
    <t>May</t>
  </si>
  <si>
    <t>L = Late Work Period 17:00 - 22:30</t>
  </si>
  <si>
    <t>E = Early Work Period 07:30 - 17:00</t>
  </si>
  <si>
    <t xml:space="preserve">         RSW = Residential Support Worker</t>
  </si>
  <si>
    <t>June</t>
  </si>
  <si>
    <t xml:space="preserve">Olivia </t>
  </si>
  <si>
    <t>PT - to even out hours, CW could come in on an early (then she can have some admin hours taken off somewhere else)</t>
  </si>
  <si>
    <t>July</t>
  </si>
  <si>
    <t>August</t>
  </si>
  <si>
    <t>Sept.</t>
  </si>
  <si>
    <t>Oct.</t>
  </si>
  <si>
    <t>Nov.</t>
  </si>
  <si>
    <t>Dec.</t>
  </si>
  <si>
    <t>Jan.</t>
  </si>
  <si>
    <t>February</t>
  </si>
  <si>
    <t xml:space="preserve">UQ = Unqualfied / Q. = Qualfied </t>
  </si>
  <si>
    <t>March</t>
  </si>
  <si>
    <t xml:space="preserve"> </t>
  </si>
  <si>
    <t>Annual Leave Tracker 2026 - 2027</t>
  </si>
  <si>
    <t>Employee Name</t>
  </si>
  <si>
    <t xml:space="preserve"> A/L Total</t>
  </si>
  <si>
    <t>Apr.</t>
  </si>
  <si>
    <t>May.</t>
  </si>
  <si>
    <t>Jun.</t>
  </si>
  <si>
    <t>Jul.</t>
  </si>
  <si>
    <t>Aug.</t>
  </si>
  <si>
    <t>Sep.</t>
  </si>
  <si>
    <t>Feb.</t>
  </si>
  <si>
    <t>Mar.</t>
  </si>
  <si>
    <t>Used</t>
  </si>
  <si>
    <t>Remaining A/L</t>
  </si>
  <si>
    <t>Ellen Middleton</t>
  </si>
  <si>
    <t>Charlotte Watson</t>
  </si>
  <si>
    <t>Phil Thomas</t>
  </si>
  <si>
    <t>Michelle McSporran</t>
  </si>
  <si>
    <t>Jack McMahon</t>
  </si>
  <si>
    <t>Sarah Newson</t>
  </si>
  <si>
    <t>Samuel Lawrence</t>
  </si>
  <si>
    <t>Olivia Machnik</t>
  </si>
  <si>
    <t>Sleep in Tracker 2026 - 2027</t>
  </si>
  <si>
    <t>Annual Sleep ins</t>
  </si>
  <si>
    <t>Sam Lawrence</t>
  </si>
  <si>
    <t>Charlie Watson</t>
  </si>
  <si>
    <t>Philip Thomas</t>
  </si>
  <si>
    <t>Michelle Mcsporran</t>
  </si>
  <si>
    <t xml:space="preserve">PUT YOUR INITIALS IN THE COLUMN UNDERNEATH THE CORRESPONDING MONTH IF YOUR SLEEP INS ARE ACCURATE - THIS NEEDS TO BE DONE BY THE 5TH OF EVERY MONTH, FOR THE PREVIOUS MONTH. IF NO INITIALS ARE ENTERED, THEN IT IS ASSUMED THAT THE SLEEP INS ARE ACCURATE. DO NOT ADD/TAKE OFF HOURS FOR THE PREVIOUS MONTH IF THE 5TH OF THE CURRENT MONTH HAS PASSED.  </t>
  </si>
  <si>
    <t>1st Quarter 2026</t>
  </si>
  <si>
    <t>2nd Quarter 2026</t>
  </si>
  <si>
    <t>Apr</t>
  </si>
  <si>
    <t>Jun</t>
  </si>
  <si>
    <t>Oct</t>
  </si>
  <si>
    <t>Nov</t>
  </si>
  <si>
    <t>Dec</t>
  </si>
  <si>
    <t>Under</t>
  </si>
  <si>
    <t>MichelleMcSporran</t>
  </si>
  <si>
    <t>3rd Quarter 2026</t>
  </si>
  <si>
    <t>4th Quarter 2027</t>
  </si>
  <si>
    <t>Jul</t>
  </si>
  <si>
    <t>Aug</t>
  </si>
  <si>
    <t>Sep</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</si>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</sst>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1"/>
  </numFmts>
  <fonts count="64">
    <font>
      <sz val="11"/>
      <color rgb="FF000000"/>
      <name val="Calibri"/>
      <family val="2"/>
      <charset val="1"/>
    </font>
    <font>
      <sz val="22"/>
      <color rgb="FF000000"/>
      <name val="Calibri"/>
      <family val="2"/>
      <charset val="1"/>
    </font>
    <font>
      <sz val="22"/>
      <name val="Times New Roman"/>
      <family val="1"/>
    </font>
    <font>
      <sz val="20"/>
      <color rgb="FF000000"/>
      <name val="Times New Roman"/>
      <family val="1"/>
    </font>
    <font>
      <sz val="20"/>
      <color rgb="FF000000"/>
      <name val="Calibri"/>
      <family val="2"/>
      <charset val="1"/>
    </font>
    <font>
      <b/>
      <sz val="20"/>
      <color rgb="FF000000"/>
      <name val="Times New Roman"/>
      <family val="1"/>
    </font>
    <font>
      <b/>
      <sz val="18"/>
      <color rgb="FF000000"/>
      <name val="Times New Roman"/>
      <family val="1"/>
    </font>
    <font>
      <b/>
      <sz val="20"/>
      <color rgb="FF000000"/>
      <name val="Calibri"/>
      <family val="2"/>
      <charset val="1"/>
    </font>
    <font>
      <b/>
      <sz val="22"/>
      <name val="Times New Roman"/>
      <family val="1"/>
    </font>
    <font>
      <b/>
      <sz val="20"/>
      <name val="Times New Roman"/>
      <family val="1"/>
    </font>
    <font>
      <sz val="22"/>
      <color rgb="FF000000"/>
      <name val="Times New Roman"/>
      <family val="1"/>
    </font>
    <font>
      <sz val="22"/>
      <color theme="1"/>
      <name val="Times New Roman"/>
      <family val="1"/>
    </font>
    <font>
      <b/>
      <sz val="22"/>
      <color rgb="FF000000"/>
      <name val="Times New Roman"/>
      <family val="1"/>
    </font>
    <font>
      <b/>
      <sz val="20"/>
      <color theme="1"/>
      <name val="Calibri"/>
      <family val="2"/>
      <charset val="1"/>
    </font>
    <font>
      <sz val="20"/>
      <name val="Times New Roman"/>
      <family val="1"/>
    </font>
    <font>
      <b/>
      <sz val="26"/>
      <color rgb="FF000000"/>
      <name val="Times New Roman"/>
      <family val="1"/>
    </font>
    <font>
      <b/>
      <sz val="26"/>
      <name val="Times New Roman"/>
      <family val="1"/>
    </font>
    <font>
      <b/>
      <sz val="26"/>
      <color rgb="FF000000"/>
      <name val="Calibri"/>
      <family val="2"/>
      <charset val="1"/>
    </font>
    <font>
      <b/>
      <sz val="26"/>
      <color rgb="FF000000"/>
      <name val="Times New Roman"/>
      <family val="1"/>
      <charset val="1"/>
    </font>
    <font>
      <sz val="30"/>
      <color rgb="FF000000"/>
      <name val="Calibri"/>
      <family val="2"/>
    </font>
    <font>
      <sz val="28"/>
      <color rgb="FF000000"/>
      <name val="Calibri"/>
      <family val="2"/>
      <charset val="1"/>
    </font>
    <font>
      <b/>
      <sz val="22"/>
      <color rgb="FF000000"/>
      <name val="Calibri"/>
      <family val="2"/>
    </font>
    <font>
      <b/>
      <sz val="22"/>
      <color rgb="FF000000"/>
      <name val="Calibri"/>
      <family val="2"/>
      <charset val="1"/>
    </font>
    <font>
      <sz val="26"/>
      <color rgb="FF000000"/>
      <name val="Calibri"/>
      <family val="2"/>
      <charset val="1"/>
    </font>
    <font>
      <b/>
      <sz val="34"/>
      <color rgb="FFFF0000"/>
      <name val="Times New Roman"/>
      <family val="1"/>
    </font>
    <font>
      <sz val="34"/>
      <color rgb="FFFF0000"/>
      <name val="Calibri"/>
      <family val="2"/>
      <charset val="1"/>
    </font>
    <font>
      <sz val="11"/>
      <color rgb="FFFF0000"/>
      <name val="Calibri"/>
      <family val="2"/>
      <charset val="1"/>
    </font>
    <font>
      <b/>
      <sz val="24"/>
      <color theme="1"/>
      <name val="Calibri"/>
      <family val="2"/>
      <scheme val="minor"/>
    </font>
    <font>
      <b/>
      <sz val="16"/>
      <color rgb="FF000000"/>
      <name val="Helvetica Neue"/>
      <family val="2"/>
    </font>
    <font>
      <b/>
      <sz val="16"/>
      <color theme="1"/>
      <name val="Calibri"/>
      <family val="2"/>
      <scheme val="minor"/>
    </font>
    <font>
      <b/>
      <sz val="14"/>
      <color rgb="FF000000"/>
      <name val="Helvetica Neue"/>
      <family val="2"/>
    </font>
    <font>
      <b/>
      <sz val="16"/>
      <color rgb="FF000000"/>
      <name val="Calibri"/>
      <family val="2"/>
      <scheme val="minor"/>
    </font>
    <font>
      <b/>
      <sz val="14"/>
      <color theme="1"/>
      <name val="Helvetica"/>
      <family val="2"/>
    </font>
    <font>
      <b/>
      <sz val="26"/>
      <color rgb="FF000000"/>
      <name val="Calibri"/>
      <family val="2"/>
    </font>
    <font>
      <b/>
      <sz val="22"/>
      <color rgb="FFF9CEE2"/>
      <name val="Times New Roman"/>
      <family val="1"/>
    </font>
    <font>
      <b/>
      <sz val="22"/>
      <color rgb="FFF9CEE2"/>
      <name val="Calibri"/>
      <family val="2"/>
      <charset val="1"/>
    </font>
    <font>
      <b/>
      <sz val="16"/>
      <color rgb="FF000000"/>
      <name val="Calibri"/>
      <family val="2"/>
    </font>
    <font>
      <b/>
      <sz val="18"/>
      <color rgb="FF000000"/>
      <name val="Calibri"/>
      <family val="2"/>
    </font>
    <font>
      <b/>
      <sz val="20"/>
      <color rgb="FFFF0000"/>
      <name val="Calibri"/>
      <family val="2"/>
    </font>
    <font>
      <b/>
      <sz val="11"/>
      <color rgb="FFFF0000"/>
      <name val="Calibri"/>
      <family val="2"/>
    </font>
    <font>
      <b/>
      <sz val="18"/>
      <color rgb="FF000000"/>
      <name val="Calibri"/>
      <family val="2"/>
      <charset val="1"/>
    </font>
    <font>
      <sz val="22"/>
      <color rgb="FFF9CEE2"/>
      <name val="Times New Roman"/>
      <family val="1"/>
    </font>
    <font>
      <sz val="26"/>
      <color rgb="FF000000"/>
      <name val="Times New Roman"/>
      <family val="1"/>
      <charset val="1"/>
    </font>
    <font>
      <sz val="26"/>
      <color rgb="FF000000"/>
      <name val="Times New Roman"/>
      <family val="1"/>
    </font>
    <font>
      <sz val="22"/>
      <color rgb="FF00B0F0"/>
      <name val="Times New Roman"/>
      <family val="1"/>
    </font>
    <font>
      <b/>
      <sz val="22"/>
      <color rgb="FF00B0F0"/>
      <name val="Times New Roman"/>
      <family val="1"/>
    </font>
    <font>
      <sz val="22"/>
      <color rgb="FF00B0F0"/>
      <name val="Calibri"/>
      <family val="2"/>
      <charset val="1"/>
    </font>
    <font>
      <b/>
      <sz val="22"/>
      <color theme="1"/>
      <name val="Times New Roman"/>
      <family val="1"/>
    </font>
    <font>
      <sz val="22"/>
      <color theme="1"/>
      <name val="Calibri"/>
      <family val="2"/>
      <charset val="1"/>
    </font>
    <font>
      <sz val="11"/>
      <color rgb="FFF9CEE2"/>
      <name val="Calibri"/>
      <family val="2"/>
      <charset val="1"/>
    </font>
    <font>
      <sz val="11"/>
      <color rgb="FF000000"/>
      <name val="Times New Roman"/>
      <family val="1"/>
    </font>
    <font>
      <b/>
      <sz val="24"/>
      <color theme="1"/>
      <name val="Times New Roman"/>
      <family val="1"/>
    </font>
    <font>
      <b/>
      <sz val="16"/>
      <color rgb="FF000000"/>
      <name val="Times New Roman"/>
      <family val="1"/>
    </font>
    <font>
      <b/>
      <sz val="16"/>
      <color theme="1"/>
      <name val="Times New Roman"/>
      <family val="1"/>
    </font>
    <font>
      <b/>
      <sz val="15"/>
      <color rgb="FF000000"/>
      <name val="Times New Roman"/>
      <family val="1"/>
    </font>
    <font>
      <b/>
      <sz val="15"/>
      <color theme="1"/>
      <name val="Times New Roman"/>
      <family val="1"/>
    </font>
    <font>
      <b/>
      <sz val="11"/>
      <color rgb="FFFF0000"/>
      <name val="Times New Roman"/>
      <family val="1"/>
    </font>
    <font>
      <b/>
      <sz val="16"/>
      <color rgb="FF000000"/>
      <name val="Calibri"/>
      <family val="2"/>
      <charset val="1"/>
    </font>
    <font>
      <b/>
      <sz val="16"/>
      <color rgb="FFCCFFFF"/>
      <name val="Calibri"/>
      <family val="2"/>
      <charset val="1"/>
    </font>
    <font>
      <sz val="11"/>
      <color theme="0"/>
      <name val="Times New Roman"/>
      <family val="1"/>
    </font>
    <font>
      <sz val="18"/>
      <color rgb="FF000000"/>
      <name val="Calibri"/>
      <family val="2"/>
      <charset val="1"/>
    </font>
    <font>
      <sz val="30"/>
      <color rgb="FF000000"/>
      <name val="Calibri"/>
      <family val="2"/>
      <charset val="1"/>
    </font>
    <font>
      <b/>
      <sz val="25"/>
      <color rgb="FF000000"/>
      <name val="Times New Roman"/>
      <family val="1"/>
    </font>
    <font>
      <b/>
      <sz val="20"/>
      <color theme="1"/>
      <name val="Times New Roman"/>
      <family val="1"/>
    </font>
  </fonts>
  <fills count="2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9"/>
        <bgColor indexed="64"/>
      </patternFill>
    </fill>
    <fill>
      <patternFill patternType="solid">
        <fgColor theme="5"/>
        <bgColor indexed="64"/>
      </patternFill>
    </fill>
    <fill>
      <patternFill patternType="solid">
        <fgColor theme="2"/>
        <bgColor indexed="64"/>
      </patternFill>
    </fill>
    <fill>
      <patternFill patternType="solid">
        <fgColor rgb="FF9933FF"/>
        <bgColor indexed="64"/>
      </patternFill>
    </fill>
    <fill>
      <patternFill patternType="solid">
        <fgColor rgb="FFCCFFFF"/>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theme="0" tint="-4.9989318521683403E-2"/>
        <bgColor indexed="64"/>
      </patternFill>
    </fill>
    <fill>
      <patternFill patternType="solid">
        <fgColor rgb="FFFF00FF"/>
        <bgColor indexed="64"/>
      </patternFill>
    </fill>
    <fill>
      <patternFill patternType="solid">
        <fgColor rgb="FFFFCC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FF00"/>
        <bgColor rgb="FF000000"/>
      </patternFill>
    </fill>
    <fill>
      <patternFill patternType="solid">
        <fgColor rgb="FFF9CEE2"/>
        <bgColor indexed="64"/>
      </patternFill>
    </fill>
    <fill>
      <patternFill patternType="solid">
        <fgColor theme="1"/>
        <bgColor indexed="64"/>
      </patternFill>
    </fill>
    <fill>
      <patternFill patternType="solid">
        <fgColor rgb="FFF2F2F2"/>
        <bgColor rgb="FF000000"/>
      </patternFill>
    </fill>
    <fill>
      <patternFill patternType="solid">
        <fgColor rgb="FFBF8F00"/>
        <bgColor rgb="FF000000"/>
      </patternFill>
    </fill>
    <fill>
      <patternFill patternType="solid">
        <fgColor theme="0" tint="-4.9989318521683403E-2"/>
        <bgColor rgb="FF000000"/>
      </patternFill>
    </fill>
    <fill>
      <patternFill patternType="solid">
        <fgColor theme="9" tint="0.79998168889431442"/>
        <bgColor indexed="64"/>
      </patternFill>
    </fill>
    <fill>
      <patternFill patternType="solid">
        <fgColor theme="7"/>
        <bgColor indexed="64"/>
      </patternFill>
    </fill>
    <fill>
      <patternFill patternType="solid">
        <fgColor theme="9" tint="0.59999389629810485"/>
        <bgColor indexed="64"/>
      </patternFill>
    </fill>
  </fills>
  <borders count="84">
    <border>
      <left/>
      <right/>
      <top/>
      <bottom/>
      <diagonal/>
    </border>
    <border>
      <left/>
      <right style="thin">
        <color auto="1"/>
      </right>
      <top/>
      <bottom/>
      <diagonal/>
    </border>
    <border>
      <left style="thin">
        <color auto="1"/>
      </left>
      <right style="thin">
        <color auto="1"/>
      </right>
      <top/>
      <bottom/>
      <diagonal/>
    </border>
    <border>
      <left/>
      <right style="thin">
        <color auto="1"/>
      </right>
      <top/>
      <bottom style="medium">
        <color auto="1"/>
      </bottom>
      <diagonal/>
    </border>
    <border>
      <left style="thin">
        <color auto="1"/>
      </left>
      <right style="thin">
        <color auto="1"/>
      </right>
      <top/>
      <bottom style="medium">
        <color auto="1"/>
      </bottom>
      <diagonal/>
    </border>
    <border>
      <left/>
      <right/>
      <top/>
      <bottom style="medium">
        <color auto="1"/>
      </bottom>
      <diagonal/>
    </border>
    <border>
      <left style="thin">
        <color auto="1"/>
      </left>
      <right/>
      <top/>
      <bottom style="medium">
        <color auto="1"/>
      </bottom>
      <diagonal/>
    </border>
    <border>
      <left style="thin">
        <color indexed="64"/>
      </left>
      <right style="thin">
        <color auto="1"/>
      </right>
      <top style="thin">
        <color indexed="64"/>
      </top>
      <bottom/>
      <diagonal/>
    </border>
    <border>
      <left style="thin">
        <color auto="1"/>
      </left>
      <right style="thin">
        <color auto="1"/>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bottom/>
      <diagonal/>
    </border>
    <border>
      <left style="thin">
        <color auto="1"/>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indexed="64"/>
      </left>
      <right style="medium">
        <color indexed="64"/>
      </right>
      <top/>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bottom/>
      <diagonal/>
    </border>
    <border>
      <left/>
      <right style="medium">
        <color rgb="FF000000"/>
      </right>
      <top/>
      <bottom/>
      <diagonal/>
    </border>
    <border>
      <left style="medium">
        <color auto="1"/>
      </left>
      <right style="medium">
        <color auto="1"/>
      </right>
      <top style="medium">
        <color auto="1"/>
      </top>
      <bottom style="medium">
        <color auto="1"/>
      </bottom>
      <diagonal/>
    </border>
    <border>
      <left style="medium">
        <color auto="1"/>
      </left>
      <right style="medium">
        <color indexed="64"/>
      </right>
      <top/>
      <bottom style="medium">
        <color indexed="64"/>
      </bottom>
      <diagonal/>
    </border>
    <border>
      <left/>
      <right/>
      <top style="thin">
        <color auto="1"/>
      </top>
      <bottom style="thin">
        <color auto="1"/>
      </bottom>
      <diagonal/>
    </border>
    <border>
      <left style="medium">
        <color indexed="64"/>
      </left>
      <right style="medium">
        <color indexed="64"/>
      </right>
      <top style="medium">
        <color indexed="64"/>
      </top>
      <bottom/>
      <diagonal/>
    </border>
    <border>
      <left style="medium">
        <color auto="1"/>
      </left>
      <right style="thin">
        <color auto="1"/>
      </right>
      <top style="medium">
        <color auto="1"/>
      </top>
      <bottom style="medium">
        <color auto="1"/>
      </bottom>
      <diagonal/>
    </border>
    <border>
      <left style="thin">
        <color auto="1"/>
      </left>
      <right style="thin">
        <color auto="1"/>
      </right>
      <top style="thick">
        <color auto="1"/>
      </top>
      <bottom/>
      <diagonal/>
    </border>
    <border>
      <left/>
      <right style="thin">
        <color auto="1"/>
      </right>
      <top style="thick">
        <color auto="1"/>
      </top>
      <bottom/>
      <diagonal/>
    </border>
    <border>
      <left/>
      <right/>
      <top style="thick">
        <color auto="1"/>
      </top>
      <bottom/>
      <diagonal/>
    </border>
    <border>
      <left style="thin">
        <color auto="1"/>
      </left>
      <right/>
      <top style="thick">
        <color auto="1"/>
      </top>
      <bottom/>
      <diagonal/>
    </border>
    <border>
      <left/>
      <right style="medium">
        <color auto="1"/>
      </right>
      <top style="thick">
        <color auto="1"/>
      </top>
      <bottom/>
      <diagonal/>
    </border>
    <border>
      <left style="medium">
        <color auto="1"/>
      </left>
      <right style="thick">
        <color auto="1"/>
      </right>
      <top style="medium">
        <color auto="1"/>
      </top>
      <bottom style="medium">
        <color auto="1"/>
      </bottom>
      <diagonal/>
    </border>
    <border>
      <left style="thick">
        <color auto="1"/>
      </left>
      <right/>
      <top/>
      <bottom/>
      <diagonal/>
    </border>
    <border>
      <left style="medium">
        <color indexed="64"/>
      </left>
      <right style="thick">
        <color auto="1"/>
      </right>
      <top style="medium">
        <color indexed="64"/>
      </top>
      <bottom/>
      <diagonal/>
    </border>
    <border>
      <left style="thin">
        <color auto="1"/>
      </left>
      <right style="thin">
        <color auto="1"/>
      </right>
      <top style="medium">
        <color auto="1"/>
      </top>
      <bottom style="thick">
        <color auto="1"/>
      </bottom>
      <diagonal/>
    </border>
    <border>
      <left style="thin">
        <color auto="1"/>
      </left>
      <right style="medium">
        <color auto="1"/>
      </right>
      <top style="medium">
        <color auto="1"/>
      </top>
      <bottom style="thick">
        <color auto="1"/>
      </bottom>
      <diagonal/>
    </border>
    <border>
      <left style="medium">
        <color auto="1"/>
      </left>
      <right style="thick">
        <color auto="1"/>
      </right>
      <top/>
      <bottom style="thick">
        <color auto="1"/>
      </bottom>
      <diagonal/>
    </border>
    <border>
      <left style="medium">
        <color auto="1"/>
      </left>
      <right style="thin">
        <color auto="1"/>
      </right>
      <top style="medium">
        <color auto="1"/>
      </top>
      <bottom style="thick">
        <color auto="1"/>
      </bottom>
      <diagonal/>
    </border>
    <border>
      <left/>
      <right/>
      <top/>
      <bottom style="thick">
        <color auto="1"/>
      </bottom>
      <diagonal/>
    </border>
    <border>
      <left style="thick">
        <color auto="1"/>
      </left>
      <right/>
      <top style="medium">
        <color auto="1"/>
      </top>
      <bottom/>
      <diagonal/>
    </border>
    <border>
      <left style="thick">
        <color auto="1"/>
      </left>
      <right/>
      <top/>
      <bottom style="thick">
        <color auto="1"/>
      </bottom>
      <diagonal/>
    </border>
    <border>
      <left style="thick">
        <color auto="1"/>
      </left>
      <right/>
      <top style="thick">
        <color auto="1"/>
      </top>
      <bottom/>
      <diagonal/>
    </border>
    <border>
      <left style="thick">
        <color auto="1"/>
      </left>
      <right/>
      <top style="medium">
        <color auto="1"/>
      </top>
      <bottom style="medium">
        <color auto="1"/>
      </bottom>
      <diagonal/>
    </border>
    <border>
      <left style="thick">
        <color auto="1"/>
      </left>
      <right/>
      <top/>
      <bottom style="medium">
        <color auto="1"/>
      </bottom>
      <diagonal/>
    </border>
    <border>
      <left style="medium">
        <color auto="1"/>
      </left>
      <right style="thin">
        <color auto="1"/>
      </right>
      <top style="thin">
        <color indexed="64"/>
      </top>
      <bottom/>
      <diagonal/>
    </border>
    <border>
      <left style="medium">
        <color auto="1"/>
      </left>
      <right style="thin">
        <color auto="1"/>
      </right>
      <top style="thick">
        <color auto="1"/>
      </top>
      <bottom/>
      <diagonal/>
    </border>
    <border>
      <left style="medium">
        <color indexed="64"/>
      </left>
      <right style="thick">
        <color auto="1"/>
      </right>
      <top style="thick">
        <color auto="1"/>
      </top>
      <bottom/>
      <diagonal/>
    </border>
    <border>
      <left style="medium">
        <color auto="1"/>
      </left>
      <right style="thick">
        <color auto="1"/>
      </right>
      <top/>
      <bottom style="medium">
        <color indexed="64"/>
      </bottom>
      <diagonal/>
    </border>
    <border>
      <left style="thick">
        <color auto="1"/>
      </left>
      <right style="medium">
        <color auto="1"/>
      </right>
      <top style="medium">
        <color auto="1"/>
      </top>
      <bottom style="medium">
        <color auto="1"/>
      </bottom>
      <diagonal/>
    </border>
    <border>
      <left style="medium">
        <color indexed="64"/>
      </left>
      <right style="medium">
        <color auto="1"/>
      </right>
      <top style="thin">
        <color auto="1"/>
      </top>
      <bottom style="medium">
        <color indexed="64"/>
      </bottom>
      <diagonal/>
    </border>
    <border>
      <left/>
      <right/>
      <top style="medium">
        <color auto="1"/>
      </top>
      <bottom style="thin">
        <color auto="1"/>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thick">
        <color auto="1"/>
      </left>
      <right style="medium">
        <color auto="1"/>
      </right>
      <top style="medium">
        <color auto="1"/>
      </top>
      <bottom/>
      <diagonal/>
    </border>
    <border>
      <left style="medium">
        <color indexed="64"/>
      </left>
      <right style="medium">
        <color indexed="64"/>
      </right>
      <top/>
      <bottom style="thick">
        <color auto="1"/>
      </bottom>
      <diagonal/>
    </border>
    <border>
      <left style="medium">
        <color indexed="64"/>
      </left>
      <right style="medium">
        <color indexed="64"/>
      </right>
      <top style="thick">
        <color indexed="64"/>
      </top>
      <bottom/>
      <diagonal/>
    </border>
    <border>
      <left style="medium">
        <color auto="1"/>
      </left>
      <right style="medium">
        <color auto="1"/>
      </right>
      <top/>
      <bottom style="thin">
        <color auto="1"/>
      </bottom>
      <diagonal/>
    </border>
    <border>
      <left style="medium">
        <color auto="1"/>
      </left>
      <right style="medium">
        <color auto="1"/>
      </right>
      <top style="thin">
        <color auto="1"/>
      </top>
      <bottom/>
      <diagonal/>
    </border>
    <border>
      <left/>
      <right style="thin">
        <color auto="1"/>
      </right>
      <top style="thin">
        <color indexed="64"/>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thick">
        <color auto="1"/>
      </right>
      <top style="thick">
        <color auto="1"/>
      </top>
      <bottom style="medium">
        <color auto="1"/>
      </bottom>
      <diagonal/>
    </border>
    <border>
      <left style="thick">
        <color auto="1"/>
      </left>
      <right style="medium">
        <color auto="1"/>
      </right>
      <top/>
      <bottom style="thin">
        <color auto="1"/>
      </bottom>
      <diagonal/>
    </border>
    <border>
      <left style="medium">
        <color auto="1"/>
      </left>
      <right style="thick">
        <color auto="1"/>
      </right>
      <top/>
      <bottom style="thin">
        <color auto="1"/>
      </bottom>
      <diagonal/>
    </border>
    <border>
      <left style="thick">
        <color auto="1"/>
      </left>
      <right style="medium">
        <color auto="1"/>
      </right>
      <top style="thin">
        <color auto="1"/>
      </top>
      <bottom style="thin">
        <color auto="1"/>
      </bottom>
      <diagonal/>
    </border>
    <border>
      <left style="medium">
        <color auto="1"/>
      </left>
      <right style="thick">
        <color auto="1"/>
      </right>
      <top style="thin">
        <color auto="1"/>
      </top>
      <bottom style="thin">
        <color auto="1"/>
      </bottom>
      <diagonal/>
    </border>
    <border>
      <left style="medium">
        <color auto="1"/>
      </left>
      <right style="medium">
        <color auto="1"/>
      </right>
      <top style="thin">
        <color auto="1"/>
      </top>
      <bottom style="thick">
        <color auto="1"/>
      </bottom>
      <diagonal/>
    </border>
    <border>
      <left style="medium">
        <color auto="1"/>
      </left>
      <right style="thick">
        <color auto="1"/>
      </right>
      <top style="thin">
        <color auto="1"/>
      </top>
      <bottom style="thick">
        <color auto="1"/>
      </bottom>
      <diagonal/>
    </border>
    <border>
      <left style="thick">
        <color auto="1"/>
      </left>
      <right style="medium">
        <color auto="1"/>
      </right>
      <top/>
      <bottom style="thick">
        <color auto="1"/>
      </bottom>
      <diagonal/>
    </border>
    <border>
      <left style="medium">
        <color auto="1"/>
      </left>
      <right style="thick">
        <color auto="1"/>
      </right>
      <top/>
      <bottom/>
      <diagonal/>
    </border>
    <border>
      <left style="medium">
        <color auto="1"/>
      </left>
      <right/>
      <top style="thin">
        <color auto="1"/>
      </top>
      <bottom style="thick">
        <color auto="1"/>
      </bottom>
      <diagonal/>
    </border>
  </borders>
  <cellStyleXfs count="1">
    <xf numFmtId="0" fontId="0" fillId="0" borderId="0"/>
  </cellStyleXfs>
  <cellXfs count="706">
    <xf numFmtId="0" fontId="0" fillId="0" borderId="0" xfId="0"/>
    <xf numFmtId="0" fontId="0" fillId="2" borderId="0" xfId="0" applyFill="1"/>
    <xf numFmtId="0" fontId="19" fillId="0" borderId="0" xfId="0" applyFont="1"/>
    <xf numFmtId="0" fontId="0" fillId="0" borderId="0" xfId="0" applyProtection="1">
      <protection locked="0"/>
    </xf>
    <xf numFmtId="0" fontId="28" fillId="0" borderId="30" xfId="0" applyFont="1" applyBorder="1" applyAlignment="1" applyProtection="1">
      <alignment horizontal="center"/>
      <protection locked="0"/>
    </xf>
    <xf numFmtId="0" fontId="29" fillId="0" borderId="30" xfId="0" applyFont="1" applyBorder="1" applyAlignment="1" applyProtection="1">
      <alignment horizontal="center"/>
      <protection locked="0"/>
    </xf>
    <xf numFmtId="0" fontId="1" fillId="0" borderId="0" xfId="0" applyFont="1"/>
    <xf numFmtId="0" fontId="2" fillId="0" borderId="0" xfId="0" applyFont="1" applyAlignment="1">
      <alignment horizontal="center"/>
    </xf>
    <xf numFmtId="0" fontId="2" fillId="4" borderId="9" xfId="0" applyFont="1" applyFill="1" applyBorder="1" applyAlignment="1">
      <alignment horizontal="center"/>
    </xf>
    <xf numFmtId="0" fontId="12" fillId="0" borderId="0" xfId="0" applyFont="1" applyAlignment="1">
      <alignment horizontal="center" vertical="center"/>
    </xf>
    <xf numFmtId="0" fontId="2" fillId="3" borderId="0" xfId="0" applyFont="1" applyFill="1" applyAlignment="1">
      <alignment horizontal="center"/>
    </xf>
    <xf numFmtId="0" fontId="5" fillId="4" borderId="13" xfId="0" applyFont="1" applyFill="1" applyBorder="1"/>
    <xf numFmtId="0" fontId="5" fillId="4" borderId="9" xfId="0" applyFont="1" applyFill="1" applyBorder="1"/>
    <xf numFmtId="0" fontId="2" fillId="4" borderId="14" xfId="0" applyFont="1" applyFill="1" applyBorder="1" applyAlignment="1">
      <alignment horizontal="center"/>
    </xf>
    <xf numFmtId="0" fontId="8" fillId="5" borderId="9" xfId="0" applyFont="1" applyFill="1" applyBorder="1" applyAlignment="1">
      <alignment horizontal="center"/>
    </xf>
    <xf numFmtId="0" fontId="10" fillId="5" borderId="16" xfId="0" applyFont="1" applyFill="1" applyBorder="1"/>
    <xf numFmtId="0" fontId="7" fillId="6" borderId="15" xfId="0" applyFont="1" applyFill="1" applyBorder="1"/>
    <xf numFmtId="0" fontId="7" fillId="6" borderId="0" xfId="0" applyFont="1" applyFill="1"/>
    <xf numFmtId="0" fontId="2" fillId="6" borderId="0" xfId="0" applyFont="1" applyFill="1" applyAlignment="1">
      <alignment horizontal="center"/>
    </xf>
    <xf numFmtId="0" fontId="2" fillId="6" borderId="16" xfId="0" applyFont="1" applyFill="1" applyBorder="1" applyAlignment="1">
      <alignment horizontal="center"/>
    </xf>
    <xf numFmtId="0" fontId="5" fillId="7" borderId="15" xfId="0" applyFont="1" applyFill="1" applyBorder="1"/>
    <xf numFmtId="0" fontId="5" fillId="7" borderId="0" xfId="0" applyFont="1" applyFill="1"/>
    <xf numFmtId="0" fontId="2" fillId="7" borderId="0" xfId="0" applyFont="1" applyFill="1" applyAlignment="1">
      <alignment horizontal="center"/>
    </xf>
    <xf numFmtId="0" fontId="9" fillId="7" borderId="0" xfId="0" applyFont="1" applyFill="1" applyAlignment="1">
      <alignment horizontal="center"/>
    </xf>
    <xf numFmtId="0" fontId="9" fillId="7" borderId="16" xfId="0" applyFont="1" applyFill="1" applyBorder="1" applyAlignment="1">
      <alignment horizontal="center"/>
    </xf>
    <xf numFmtId="0" fontId="2" fillId="5" borderId="15" xfId="0" applyFont="1" applyFill="1" applyBorder="1" applyAlignment="1">
      <alignment horizontal="center"/>
    </xf>
    <xf numFmtId="0" fontId="2" fillId="5" borderId="0" xfId="0" applyFont="1" applyFill="1" applyAlignment="1">
      <alignment horizontal="center"/>
    </xf>
    <xf numFmtId="0" fontId="5" fillId="18" borderId="15" xfId="0" applyFont="1" applyFill="1" applyBorder="1"/>
    <xf numFmtId="0" fontId="5" fillId="18" borderId="0" xfId="0" applyFont="1" applyFill="1"/>
    <xf numFmtId="0" fontId="5" fillId="18" borderId="33" xfId="0" applyFont="1" applyFill="1" applyBorder="1"/>
    <xf numFmtId="0" fontId="2" fillId="7" borderId="16" xfId="0" applyFont="1" applyFill="1" applyBorder="1" applyAlignment="1">
      <alignment horizontal="center"/>
    </xf>
    <xf numFmtId="0" fontId="2" fillId="5" borderId="15" xfId="0" applyFont="1" applyFill="1" applyBorder="1" applyAlignment="1">
      <alignment horizontal="left"/>
    </xf>
    <xf numFmtId="0" fontId="5" fillId="8" borderId="15" xfId="0" applyFont="1" applyFill="1" applyBorder="1"/>
    <xf numFmtId="0" fontId="5" fillId="8" borderId="0" xfId="0" applyFont="1" applyFill="1"/>
    <xf numFmtId="0" fontId="7" fillId="8" borderId="0" xfId="0" applyFont="1" applyFill="1"/>
    <xf numFmtId="0" fontId="5" fillId="8" borderId="16" xfId="0" applyFont="1" applyFill="1" applyBorder="1"/>
    <xf numFmtId="0" fontId="10" fillId="0" borderId="0" xfId="0" applyFont="1"/>
    <xf numFmtId="0" fontId="3" fillId="7" borderId="0" xfId="0" applyFont="1" applyFill="1"/>
    <xf numFmtId="0" fontId="1" fillId="7" borderId="0" xfId="0" applyFont="1" applyFill="1"/>
    <xf numFmtId="0" fontId="1" fillId="7" borderId="16" xfId="0" applyFont="1" applyFill="1" applyBorder="1"/>
    <xf numFmtId="0" fontId="1" fillId="0" borderId="15" xfId="0" applyFont="1" applyBorder="1"/>
    <xf numFmtId="0" fontId="10" fillId="5" borderId="15" xfId="0" applyFont="1" applyFill="1" applyBorder="1"/>
    <xf numFmtId="0" fontId="13" fillId="10" borderId="15" xfId="0" applyFont="1" applyFill="1" applyBorder="1"/>
    <xf numFmtId="0" fontId="13" fillId="10" borderId="0" xfId="0" applyFont="1" applyFill="1"/>
    <xf numFmtId="0" fontId="13" fillId="10" borderId="16" xfId="0" applyFont="1" applyFill="1" applyBorder="1"/>
    <xf numFmtId="0" fontId="1" fillId="5" borderId="0" xfId="0" applyFont="1" applyFill="1"/>
    <xf numFmtId="0" fontId="10" fillId="5" borderId="0" xfId="0" applyFont="1" applyFill="1"/>
    <xf numFmtId="0" fontId="5" fillId="11" borderId="15" xfId="0" applyFont="1" applyFill="1" applyBorder="1"/>
    <xf numFmtId="0" fontId="5" fillId="11" borderId="0" xfId="0" applyFont="1" applyFill="1"/>
    <xf numFmtId="0" fontId="7" fillId="11" borderId="0" xfId="0" applyFont="1" applyFill="1"/>
    <xf numFmtId="0" fontId="5" fillId="11" borderId="16" xfId="0" applyFont="1" applyFill="1" applyBorder="1"/>
    <xf numFmtId="0" fontId="4" fillId="7" borderId="16" xfId="0" applyFont="1" applyFill="1" applyBorder="1"/>
    <xf numFmtId="0" fontId="5" fillId="13" borderId="15" xfId="0" applyFont="1" applyFill="1" applyBorder="1"/>
    <xf numFmtId="0" fontId="5" fillId="13" borderId="0" xfId="0" applyFont="1" applyFill="1"/>
    <xf numFmtId="0" fontId="5" fillId="13" borderId="16" xfId="0" applyFont="1" applyFill="1" applyBorder="1"/>
    <xf numFmtId="0" fontId="1" fillId="5" borderId="16" xfId="0" applyFont="1" applyFill="1" applyBorder="1"/>
    <xf numFmtId="0" fontId="5" fillId="9" borderId="15" xfId="0" applyFont="1" applyFill="1" applyBorder="1"/>
    <xf numFmtId="0" fontId="5" fillId="9" borderId="0" xfId="0" applyFont="1" applyFill="1"/>
    <xf numFmtId="0" fontId="7" fillId="9" borderId="0" xfId="0" applyFont="1" applyFill="1"/>
    <xf numFmtId="0" fontId="5" fillId="9" borderId="16" xfId="0" applyFont="1" applyFill="1" applyBorder="1"/>
    <xf numFmtId="0" fontId="21" fillId="15" borderId="17" xfId="0" applyFont="1" applyFill="1" applyBorder="1"/>
    <xf numFmtId="0" fontId="21" fillId="15" borderId="5" xfId="0" applyFont="1" applyFill="1" applyBorder="1"/>
    <xf numFmtId="0" fontId="21" fillId="15" borderId="18" xfId="0" applyFont="1" applyFill="1" applyBorder="1"/>
    <xf numFmtId="0" fontId="5" fillId="7" borderId="17" xfId="0" applyFont="1" applyFill="1" applyBorder="1"/>
    <xf numFmtId="0" fontId="5" fillId="7" borderId="5" xfId="0" applyFont="1" applyFill="1" applyBorder="1"/>
    <xf numFmtId="0" fontId="1" fillId="7" borderId="5" xfId="0" applyFont="1" applyFill="1" applyBorder="1"/>
    <xf numFmtId="0" fontId="3" fillId="7" borderId="5" xfId="0" applyFont="1" applyFill="1" applyBorder="1"/>
    <xf numFmtId="0" fontId="4" fillId="7" borderId="18" xfId="0" applyFont="1" applyFill="1" applyBorder="1"/>
    <xf numFmtId="0" fontId="10" fillId="5" borderId="17" xfId="0" applyFont="1" applyFill="1" applyBorder="1"/>
    <xf numFmtId="0" fontId="1" fillId="5" borderId="5" xfId="0" applyFont="1" applyFill="1" applyBorder="1"/>
    <xf numFmtId="0" fontId="10" fillId="5" borderId="5" xfId="0" applyFont="1" applyFill="1" applyBorder="1"/>
    <xf numFmtId="0" fontId="1" fillId="5" borderId="18" xfId="0" applyFont="1" applyFill="1" applyBorder="1"/>
    <xf numFmtId="0" fontId="3" fillId="2" borderId="0" xfId="0" applyFont="1" applyFill="1"/>
    <xf numFmtId="0" fontId="10" fillId="2" borderId="0" xfId="0" applyFont="1" applyFill="1"/>
    <xf numFmtId="0" fontId="1" fillId="2" borderId="0" xfId="0" applyFont="1" applyFill="1"/>
    <xf numFmtId="0" fontId="12" fillId="0" borderId="10" xfId="0" applyFont="1" applyBorder="1" applyAlignment="1">
      <alignment horizontal="center"/>
    </xf>
    <xf numFmtId="0" fontId="8" fillId="5" borderId="13" xfId="0" applyFont="1" applyFill="1" applyBorder="1" applyAlignment="1">
      <alignment horizontal="center"/>
    </xf>
    <xf numFmtId="0" fontId="12" fillId="5" borderId="14" xfId="0" applyFont="1" applyFill="1" applyBorder="1"/>
    <xf numFmtId="0" fontId="5" fillId="9" borderId="17" xfId="0" applyFont="1" applyFill="1" applyBorder="1"/>
    <xf numFmtId="0" fontId="5" fillId="9" borderId="5" xfId="0" applyFont="1" applyFill="1" applyBorder="1"/>
    <xf numFmtId="0" fontId="7" fillId="9" borderId="5" xfId="0" applyFont="1" applyFill="1" applyBorder="1"/>
    <xf numFmtId="0" fontId="5" fillId="9" borderId="18" xfId="0" applyFont="1" applyFill="1" applyBorder="1"/>
    <xf numFmtId="0" fontId="1" fillId="14" borderId="27" xfId="0" applyFont="1" applyFill="1" applyBorder="1"/>
    <xf numFmtId="0" fontId="1" fillId="14" borderId="28" xfId="0" applyFont="1" applyFill="1" applyBorder="1"/>
    <xf numFmtId="0" fontId="1" fillId="14" borderId="29" xfId="0" applyFont="1" applyFill="1" applyBorder="1"/>
    <xf numFmtId="0" fontId="5" fillId="3" borderId="15" xfId="0" applyFont="1" applyFill="1" applyBorder="1"/>
    <xf numFmtId="0" fontId="5" fillId="3" borderId="0" xfId="0" applyFont="1" applyFill="1"/>
    <xf numFmtId="0" fontId="2" fillId="3" borderId="16" xfId="0" applyFont="1" applyFill="1" applyBorder="1" applyAlignment="1">
      <alignment horizontal="center"/>
    </xf>
    <xf numFmtId="0" fontId="12" fillId="5" borderId="15" xfId="0" applyFont="1" applyFill="1" applyBorder="1"/>
    <xf numFmtId="0" fontId="8" fillId="5" borderId="15" xfId="0" applyFont="1" applyFill="1" applyBorder="1" applyAlignment="1">
      <alignment horizontal="center"/>
    </xf>
    <xf numFmtId="0" fontId="8" fillId="5" borderId="0" xfId="0" applyFont="1" applyFill="1" applyAlignment="1">
      <alignment horizontal="center"/>
    </xf>
    <xf numFmtId="0" fontId="12" fillId="5" borderId="0" xfId="0" applyFont="1" applyFill="1"/>
    <xf numFmtId="0" fontId="22" fillId="5" borderId="16" xfId="0" applyFont="1" applyFill="1" applyBorder="1"/>
    <xf numFmtId="0" fontId="8" fillId="5" borderId="15" xfId="0" applyFont="1" applyFill="1" applyBorder="1" applyAlignment="1">
      <alignment horizontal="left"/>
    </xf>
    <xf numFmtId="0" fontId="22" fillId="5" borderId="0" xfId="0" applyFont="1" applyFill="1"/>
    <xf numFmtId="0" fontId="12" fillId="5" borderId="16" xfId="0" applyFont="1" applyFill="1" applyBorder="1"/>
    <xf numFmtId="0" fontId="12" fillId="5" borderId="17" xfId="0" applyFont="1" applyFill="1" applyBorder="1"/>
    <xf numFmtId="0" fontId="22" fillId="5" borderId="5" xfId="0" applyFont="1" applyFill="1" applyBorder="1"/>
    <xf numFmtId="0" fontId="12" fillId="5" borderId="5" xfId="0" applyFont="1" applyFill="1" applyBorder="1"/>
    <xf numFmtId="0" fontId="22" fillId="5" borderId="18" xfId="0" applyFont="1" applyFill="1" applyBorder="1"/>
    <xf numFmtId="0" fontId="20" fillId="0" borderId="0" xfId="0" applyFont="1"/>
    <xf numFmtId="0" fontId="3" fillId="0" borderId="0" xfId="0" applyFont="1"/>
    <xf numFmtId="0" fontId="10" fillId="12" borderId="7" xfId="0" applyFont="1" applyFill="1" applyBorder="1" applyAlignment="1">
      <alignment horizontal="center" vertical="center"/>
    </xf>
    <xf numFmtId="0" fontId="10" fillId="12" borderId="2" xfId="0" applyFont="1" applyFill="1" applyBorder="1" applyAlignment="1">
      <alignment horizontal="center" vertical="center"/>
    </xf>
    <xf numFmtId="0" fontId="10" fillId="12" borderId="11" xfId="0" applyFont="1" applyFill="1" applyBorder="1" applyAlignment="1">
      <alignment horizontal="center" vertical="center"/>
    </xf>
    <xf numFmtId="0" fontId="2" fillId="12" borderId="8" xfId="0" applyFont="1" applyFill="1" applyBorder="1" applyAlignment="1">
      <alignment horizontal="center" vertical="center"/>
    </xf>
    <xf numFmtId="0" fontId="2" fillId="12" borderId="12" xfId="0" applyFont="1" applyFill="1" applyBorder="1" applyAlignment="1">
      <alignment horizontal="center" vertical="center"/>
    </xf>
    <xf numFmtId="0" fontId="2" fillId="12" borderId="1" xfId="0" applyFont="1" applyFill="1" applyBorder="1" applyAlignment="1">
      <alignment horizontal="center" vertical="center"/>
    </xf>
    <xf numFmtId="0" fontId="2" fillId="12" borderId="2" xfId="0" applyFont="1" applyFill="1" applyBorder="1" applyAlignment="1">
      <alignment horizontal="center" vertical="center"/>
    </xf>
    <xf numFmtId="0" fontId="2" fillId="12" borderId="11" xfId="0" applyFont="1" applyFill="1" applyBorder="1" applyAlignment="1">
      <alignment horizontal="center" vertical="center"/>
    </xf>
    <xf numFmtId="0" fontId="2" fillId="12" borderId="4" xfId="0" applyFont="1" applyFill="1" applyBorder="1" applyAlignment="1">
      <alignment horizontal="center" vertical="center"/>
    </xf>
    <xf numFmtId="0" fontId="2" fillId="12" borderId="10" xfId="0" applyFont="1" applyFill="1" applyBorder="1" applyAlignment="1">
      <alignment horizontal="center" vertical="center"/>
    </xf>
    <xf numFmtId="0" fontId="2" fillId="12" borderId="9" xfId="0" applyFont="1" applyFill="1" applyBorder="1" applyAlignment="1">
      <alignment horizontal="center" vertical="center"/>
    </xf>
    <xf numFmtId="0" fontId="2" fillId="12" borderId="0" xfId="0" applyFont="1" applyFill="1" applyAlignment="1">
      <alignment horizontal="center" vertical="center"/>
    </xf>
    <xf numFmtId="0" fontId="10" fillId="12" borderId="8" xfId="0" applyFont="1" applyFill="1" applyBorder="1" applyAlignment="1">
      <alignment horizontal="center" vertical="center"/>
    </xf>
    <xf numFmtId="0" fontId="10" fillId="12" borderId="1" xfId="0" applyFont="1" applyFill="1" applyBorder="1" applyAlignment="1">
      <alignment horizontal="center" vertical="center"/>
    </xf>
    <xf numFmtId="0" fontId="11" fillId="12" borderId="1" xfId="0" applyFont="1" applyFill="1" applyBorder="1" applyAlignment="1">
      <alignment horizontal="center" vertical="center"/>
    </xf>
    <xf numFmtId="0" fontId="11" fillId="12" borderId="2" xfId="0" applyFont="1" applyFill="1" applyBorder="1" applyAlignment="1">
      <alignment horizontal="center" vertical="center"/>
    </xf>
    <xf numFmtId="0" fontId="10" fillId="12" borderId="9" xfId="0" applyFont="1" applyFill="1" applyBorder="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center" vertical="center"/>
    </xf>
    <xf numFmtId="0" fontId="12" fillId="12" borderId="1" xfId="0" applyFont="1" applyFill="1" applyBorder="1" applyAlignment="1">
      <alignment horizontal="center" vertical="center"/>
    </xf>
    <xf numFmtId="0" fontId="11" fillId="12" borderId="8" xfId="0" applyFont="1" applyFill="1" applyBorder="1" applyAlignment="1">
      <alignment horizontal="center" vertical="center"/>
    </xf>
    <xf numFmtId="0" fontId="10" fillId="12" borderId="12" xfId="0" applyFont="1" applyFill="1" applyBorder="1" applyAlignment="1">
      <alignment horizontal="center" vertical="center"/>
    </xf>
    <xf numFmtId="0" fontId="2" fillId="4" borderId="0" xfId="0" applyFont="1" applyFill="1" applyAlignment="1">
      <alignment horizontal="center"/>
    </xf>
    <xf numFmtId="0" fontId="5" fillId="4" borderId="15" xfId="0" applyFont="1" applyFill="1" applyBorder="1"/>
    <xf numFmtId="0" fontId="5" fillId="4" borderId="0" xfId="0" applyFont="1" applyFill="1"/>
    <xf numFmtId="0" fontId="2" fillId="4" borderId="16" xfId="0" applyFont="1" applyFill="1" applyBorder="1" applyAlignment="1">
      <alignment horizontal="center"/>
    </xf>
    <xf numFmtId="0" fontId="8" fillId="7" borderId="0" xfId="0" applyFont="1" applyFill="1" applyAlignment="1">
      <alignment horizontal="center"/>
    </xf>
    <xf numFmtId="0" fontId="8" fillId="7" borderId="16" xfId="0" applyFont="1" applyFill="1" applyBorder="1" applyAlignment="1">
      <alignment horizontal="center"/>
    </xf>
    <xf numFmtId="0" fontId="10" fillId="12" borderId="10" xfId="0" applyFont="1" applyFill="1" applyBorder="1" applyAlignment="1">
      <alignment horizontal="center" vertical="center"/>
    </xf>
    <xf numFmtId="0" fontId="22" fillId="0" borderId="0" xfId="0" applyFont="1"/>
    <xf numFmtId="0" fontId="12" fillId="0" borderId="0" xfId="0" applyFont="1" applyAlignment="1">
      <alignment horizontal="center"/>
    </xf>
    <xf numFmtId="0" fontId="34" fillId="12" borderId="4" xfId="0" applyFont="1" applyFill="1" applyBorder="1" applyAlignment="1">
      <alignment horizontal="center" vertical="center"/>
    </xf>
    <xf numFmtId="0" fontId="34" fillId="12" borderId="5" xfId="0" applyFont="1" applyFill="1" applyBorder="1" applyAlignment="1">
      <alignment horizontal="center" vertical="center"/>
    </xf>
    <xf numFmtId="0" fontId="34" fillId="12" borderId="3" xfId="0" applyFont="1" applyFill="1" applyBorder="1" applyAlignment="1">
      <alignment horizontal="center" vertical="center"/>
    </xf>
    <xf numFmtId="0" fontId="34" fillId="12" borderId="6" xfId="0" applyFont="1" applyFill="1" applyBorder="1" applyAlignment="1">
      <alignment horizontal="center" vertical="center"/>
    </xf>
    <xf numFmtId="0" fontId="34" fillId="12" borderId="2" xfId="0" applyFont="1" applyFill="1" applyBorder="1" applyAlignment="1">
      <alignment horizontal="center" vertical="center"/>
    </xf>
    <xf numFmtId="0" fontId="34" fillId="12" borderId="11" xfId="0" applyFont="1" applyFill="1" applyBorder="1" applyAlignment="1">
      <alignment horizontal="center" vertical="center"/>
    </xf>
    <xf numFmtId="0" fontId="34" fillId="12" borderId="0" xfId="0" applyFont="1" applyFill="1" applyAlignment="1">
      <alignment horizontal="center" vertical="center"/>
    </xf>
    <xf numFmtId="0" fontId="12" fillId="12" borderId="39" xfId="0" applyFont="1" applyFill="1" applyBorder="1" applyAlignment="1">
      <alignment horizontal="center" vertical="center"/>
    </xf>
    <xf numFmtId="0" fontId="12" fillId="12" borderId="40" xfId="0" applyFont="1" applyFill="1" applyBorder="1" applyAlignment="1">
      <alignment horizontal="center" vertical="center"/>
    </xf>
    <xf numFmtId="0" fontId="12" fillId="12" borderId="41" xfId="0" applyFont="1" applyFill="1" applyBorder="1" applyAlignment="1">
      <alignment horizontal="center" vertical="center"/>
    </xf>
    <xf numFmtId="0" fontId="12" fillId="12" borderId="43" xfId="0" applyFont="1" applyFill="1" applyBorder="1" applyAlignment="1">
      <alignment horizontal="center" vertical="center"/>
    </xf>
    <xf numFmtId="0" fontId="10" fillId="4" borderId="44" xfId="0" applyFont="1" applyFill="1" applyBorder="1" applyAlignment="1">
      <alignment horizontal="center"/>
    </xf>
    <xf numFmtId="0" fontId="10" fillId="12" borderId="0" xfId="0" applyFont="1" applyFill="1" applyAlignment="1">
      <alignment horizontal="center" vertical="center"/>
    </xf>
    <xf numFmtId="0" fontId="12" fillId="0" borderId="45" xfId="0" applyFont="1" applyBorder="1" applyAlignment="1">
      <alignment horizontal="center" vertical="center"/>
    </xf>
    <xf numFmtId="0" fontId="8" fillId="0" borderId="46" xfId="0" applyFont="1" applyBorder="1" applyAlignment="1">
      <alignment horizontal="center" vertical="center"/>
    </xf>
    <xf numFmtId="0" fontId="35" fillId="12" borderId="6" xfId="0" applyFont="1" applyFill="1" applyBorder="1" applyAlignment="1">
      <alignment horizontal="center" vertical="center"/>
    </xf>
    <xf numFmtId="0" fontId="34" fillId="12" borderId="1" xfId="0" applyFont="1" applyFill="1" applyBorder="1" applyAlignment="1">
      <alignment horizontal="center" vertical="center"/>
    </xf>
    <xf numFmtId="0" fontId="6" fillId="0" borderId="45" xfId="0" applyFont="1" applyBorder="1" applyAlignment="1">
      <alignment horizontal="center"/>
    </xf>
    <xf numFmtId="0" fontId="8" fillId="0" borderId="0" xfId="0" applyFont="1" applyAlignment="1">
      <alignment horizontal="center"/>
    </xf>
    <xf numFmtId="0" fontId="4" fillId="0" borderId="0" xfId="0" applyFont="1"/>
    <xf numFmtId="0" fontId="12" fillId="0" borderId="0" xfId="0" applyFont="1"/>
    <xf numFmtId="0" fontId="8" fillId="0" borderId="0" xfId="0" applyFont="1" applyAlignment="1">
      <alignment horizontal="left"/>
    </xf>
    <xf numFmtId="0" fontId="12" fillId="12" borderId="8" xfId="0" applyFont="1" applyFill="1" applyBorder="1" applyAlignment="1">
      <alignment horizontal="center"/>
    </xf>
    <xf numFmtId="0" fontId="12" fillId="0" borderId="8" xfId="0" applyFont="1" applyBorder="1" applyAlignment="1">
      <alignment horizontal="center"/>
    </xf>
    <xf numFmtId="0" fontId="12" fillId="0" borderId="9" xfId="0" applyFont="1" applyBorder="1" applyAlignment="1">
      <alignment horizontal="center"/>
    </xf>
    <xf numFmtId="0" fontId="12" fillId="12" borderId="9" xfId="0" applyFont="1" applyFill="1" applyBorder="1" applyAlignment="1">
      <alignment horizontal="center"/>
    </xf>
    <xf numFmtId="0" fontId="12" fillId="12" borderId="14" xfId="0" applyFont="1" applyFill="1" applyBorder="1" applyAlignment="1">
      <alignment horizontal="center"/>
    </xf>
    <xf numFmtId="0" fontId="12" fillId="12" borderId="3" xfId="0" applyFont="1" applyFill="1" applyBorder="1" applyAlignment="1">
      <alignment horizontal="center" vertical="center"/>
    </xf>
    <xf numFmtId="0" fontId="12" fillId="12" borderId="10" xfId="0" applyFont="1" applyFill="1" applyBorder="1" applyAlignment="1">
      <alignment horizontal="center"/>
    </xf>
    <xf numFmtId="0" fontId="12" fillId="12" borderId="6" xfId="0" applyFont="1" applyFill="1" applyBorder="1" applyAlignment="1">
      <alignment horizontal="center" vertical="center"/>
    </xf>
    <xf numFmtId="0" fontId="12" fillId="12" borderId="4" xfId="0" applyFont="1" applyFill="1" applyBorder="1" applyAlignment="1">
      <alignment horizontal="center" vertical="center"/>
    </xf>
    <xf numFmtId="0" fontId="31" fillId="17" borderId="31" xfId="0" applyFont="1" applyFill="1" applyBorder="1" applyAlignment="1">
      <alignment horizontal="center"/>
    </xf>
    <xf numFmtId="0" fontId="29" fillId="0" borderId="31" xfId="0" applyFont="1" applyBorder="1" applyAlignment="1">
      <alignment horizontal="center"/>
    </xf>
    <xf numFmtId="0" fontId="29" fillId="17" borderId="31" xfId="0" applyFont="1" applyFill="1" applyBorder="1" applyAlignment="1">
      <alignment horizontal="center"/>
    </xf>
    <xf numFmtId="0" fontId="12" fillId="0" borderId="13" xfId="0" applyFont="1" applyBorder="1" applyAlignment="1">
      <alignment horizontal="center"/>
    </xf>
    <xf numFmtId="0" fontId="6" fillId="0" borderId="27" xfId="0" applyFont="1" applyBorder="1" applyAlignment="1">
      <alignment horizontal="center"/>
    </xf>
    <xf numFmtId="17" fontId="12" fillId="9" borderId="27" xfId="0" applyNumberFormat="1" applyFont="1" applyFill="1" applyBorder="1" applyAlignment="1">
      <alignment horizontal="center"/>
    </xf>
    <xf numFmtId="0" fontId="6" fillId="0" borderId="17" xfId="0" applyFont="1" applyBorder="1" applyAlignment="1">
      <alignment horizontal="center"/>
    </xf>
    <xf numFmtId="0" fontId="6" fillId="0" borderId="0" xfId="0" applyFont="1" applyAlignment="1">
      <alignment horizontal="center"/>
    </xf>
    <xf numFmtId="0" fontId="0" fillId="16" borderId="34" xfId="0" applyFill="1" applyBorder="1"/>
    <xf numFmtId="0" fontId="12" fillId="0" borderId="52" xfId="0" applyFont="1" applyBorder="1" applyAlignment="1">
      <alignment horizontal="center" vertical="center"/>
    </xf>
    <xf numFmtId="0" fontId="40" fillId="16" borderId="34" xfId="0" applyFont="1" applyFill="1" applyBorder="1" applyAlignment="1">
      <alignment horizontal="center" vertical="center"/>
    </xf>
    <xf numFmtId="0" fontId="1" fillId="19" borderId="35" xfId="0" applyFont="1" applyFill="1" applyBorder="1" applyAlignment="1">
      <alignment horizontal="center" vertical="center"/>
    </xf>
    <xf numFmtId="0" fontId="12" fillId="19" borderId="37" xfId="0" applyFont="1" applyFill="1" applyBorder="1" applyAlignment="1">
      <alignment horizontal="center" vertical="center"/>
    </xf>
    <xf numFmtId="0" fontId="41" fillId="12" borderId="4" xfId="0" applyFont="1" applyFill="1" applyBorder="1" applyAlignment="1">
      <alignment horizontal="center" vertical="center"/>
    </xf>
    <xf numFmtId="0" fontId="41" fillId="12" borderId="3" xfId="0" applyFont="1" applyFill="1" applyBorder="1" applyAlignment="1">
      <alignment horizontal="center" vertical="center"/>
    </xf>
    <xf numFmtId="0" fontId="41" fillId="12" borderId="5" xfId="0" applyFont="1" applyFill="1" applyBorder="1" applyAlignment="1">
      <alignment horizontal="center" vertical="center"/>
    </xf>
    <xf numFmtId="0" fontId="14" fillId="12" borderId="11" xfId="0" applyFont="1" applyFill="1" applyBorder="1" applyAlignment="1">
      <alignment horizontal="center" vertical="center"/>
    </xf>
    <xf numFmtId="0" fontId="12" fillId="12" borderId="2" xfId="0" applyFont="1" applyFill="1" applyBorder="1" applyAlignment="1">
      <alignment horizontal="center" vertical="center"/>
    </xf>
    <xf numFmtId="0" fontId="12" fillId="12" borderId="11" xfId="0" applyFont="1" applyFill="1" applyBorder="1" applyAlignment="1">
      <alignment horizontal="center" vertical="center"/>
    </xf>
    <xf numFmtId="0" fontId="10" fillId="0" borderId="44" xfId="0" applyFont="1" applyBorder="1" applyAlignment="1">
      <alignment horizontal="center" vertical="center"/>
    </xf>
    <xf numFmtId="0" fontId="10" fillId="19" borderId="44" xfId="0" applyFont="1" applyFill="1" applyBorder="1" applyAlignment="1">
      <alignment horizontal="center" vertical="center"/>
    </xf>
    <xf numFmtId="0" fontId="6" fillId="0" borderId="54" xfId="0" applyFont="1" applyBorder="1" applyAlignment="1">
      <alignment horizontal="center" vertical="center"/>
    </xf>
    <xf numFmtId="17" fontId="12" fillId="9" borderId="55" xfId="0" applyNumberFormat="1" applyFont="1" applyFill="1" applyBorder="1" applyAlignment="1">
      <alignment horizontal="center" vertical="center"/>
    </xf>
    <xf numFmtId="0" fontId="6" fillId="11" borderId="56" xfId="0" applyFont="1" applyFill="1" applyBorder="1" applyAlignment="1">
      <alignment horizontal="center" vertical="center"/>
    </xf>
    <xf numFmtId="0" fontId="6" fillId="11" borderId="45" xfId="0" applyFont="1" applyFill="1" applyBorder="1" applyAlignment="1">
      <alignment horizontal="center" vertical="center"/>
    </xf>
    <xf numFmtId="0" fontId="6" fillId="0" borderId="45" xfId="0" applyFont="1" applyBorder="1" applyAlignment="1">
      <alignment horizontal="center" vertical="center"/>
    </xf>
    <xf numFmtId="0" fontId="6" fillId="0" borderId="56" xfId="0" applyFont="1" applyBorder="1" applyAlignment="1">
      <alignment horizontal="center" vertical="center"/>
    </xf>
    <xf numFmtId="0" fontId="12" fillId="19" borderId="59" xfId="0" applyFont="1" applyFill="1" applyBorder="1" applyAlignment="1">
      <alignment horizontal="center" vertical="center"/>
    </xf>
    <xf numFmtId="0" fontId="12" fillId="12" borderId="42" xfId="0" applyFont="1" applyFill="1" applyBorder="1" applyAlignment="1">
      <alignment horizontal="center" vertical="center"/>
    </xf>
    <xf numFmtId="0" fontId="10" fillId="12" borderId="21" xfId="0" applyFont="1" applyFill="1" applyBorder="1" applyAlignment="1">
      <alignment horizontal="center" vertical="center"/>
    </xf>
    <xf numFmtId="0" fontId="34" fillId="12" borderId="21" xfId="0" applyFont="1" applyFill="1" applyBorder="1" applyAlignment="1">
      <alignment horizontal="center" vertical="center"/>
    </xf>
    <xf numFmtId="0" fontId="10" fillId="12" borderId="20" xfId="0" applyFont="1" applyFill="1" applyBorder="1" applyAlignment="1">
      <alignment horizontal="center" vertical="center"/>
    </xf>
    <xf numFmtId="0" fontId="34" fillId="12" borderId="22" xfId="0" applyFont="1" applyFill="1" applyBorder="1" applyAlignment="1">
      <alignment horizontal="center" vertical="center"/>
    </xf>
    <xf numFmtId="0" fontId="2" fillId="12" borderId="21" xfId="0" applyFont="1" applyFill="1" applyBorder="1" applyAlignment="1">
      <alignment horizontal="center" vertical="center"/>
    </xf>
    <xf numFmtId="0" fontId="10" fillId="12" borderId="57" xfId="0" applyFont="1" applyFill="1" applyBorder="1" applyAlignment="1">
      <alignment horizontal="center" vertical="center"/>
    </xf>
    <xf numFmtId="0" fontId="2" fillId="12" borderId="20" xfId="0" applyFont="1" applyFill="1" applyBorder="1" applyAlignment="1">
      <alignment horizontal="center" vertical="center"/>
    </xf>
    <xf numFmtId="0" fontId="12" fillId="12" borderId="58" xfId="0" applyFont="1" applyFill="1" applyBorder="1" applyAlignment="1">
      <alignment horizontal="center" vertical="center"/>
    </xf>
    <xf numFmtId="17" fontId="12" fillId="9" borderId="61" xfId="0" applyNumberFormat="1" applyFont="1" applyFill="1" applyBorder="1" applyAlignment="1">
      <alignment horizontal="center" vertical="center"/>
    </xf>
    <xf numFmtId="0" fontId="22" fillId="7" borderId="0" xfId="0" applyFont="1" applyFill="1"/>
    <xf numFmtId="0" fontId="22" fillId="7" borderId="16" xfId="0" applyFont="1" applyFill="1" applyBorder="1"/>
    <xf numFmtId="0" fontId="7" fillId="7" borderId="16" xfId="0" applyFont="1" applyFill="1" applyBorder="1"/>
    <xf numFmtId="0" fontId="22" fillId="7" borderId="5" xfId="0" applyFont="1" applyFill="1" applyBorder="1"/>
    <xf numFmtId="0" fontId="7" fillId="7" borderId="18" xfId="0" applyFont="1" applyFill="1" applyBorder="1"/>
    <xf numFmtId="1" fontId="10" fillId="12" borderId="7" xfId="0" applyNumberFormat="1" applyFont="1" applyFill="1" applyBorder="1" applyAlignment="1">
      <alignment horizontal="center" vertical="center"/>
    </xf>
    <xf numFmtId="1" fontId="2" fillId="12" borderId="8" xfId="0" applyNumberFormat="1" applyFont="1" applyFill="1" applyBorder="1" applyAlignment="1">
      <alignment horizontal="center" vertical="center"/>
    </xf>
    <xf numFmtId="1" fontId="46" fillId="0" borderId="0" xfId="0" applyNumberFormat="1" applyFont="1" applyAlignment="1">
      <alignment horizontal="center" vertical="center"/>
    </xf>
    <xf numFmtId="165" fontId="46" fillId="0" borderId="0" xfId="0" applyNumberFormat="1" applyFont="1" applyAlignment="1">
      <alignment horizontal="center" vertical="center"/>
    </xf>
    <xf numFmtId="165" fontId="1" fillId="0" borderId="0" xfId="0" applyNumberFormat="1" applyFont="1" applyAlignment="1">
      <alignment horizontal="center" vertical="center"/>
    </xf>
    <xf numFmtId="0" fontId="1" fillId="0" borderId="0" xfId="0" applyFont="1" applyAlignment="1">
      <alignment horizontal="center" vertical="center"/>
    </xf>
    <xf numFmtId="1" fontId="1" fillId="19" borderId="60" xfId="0" applyNumberFormat="1" applyFont="1" applyFill="1" applyBorder="1" applyAlignment="1">
      <alignment horizontal="center" vertical="center"/>
    </xf>
    <xf numFmtId="1" fontId="1" fillId="19" borderId="35" xfId="0" applyNumberFormat="1" applyFont="1" applyFill="1" applyBorder="1" applyAlignment="1">
      <alignment horizontal="center" vertical="center"/>
    </xf>
    <xf numFmtId="164" fontId="10" fillId="4" borderId="34" xfId="0" applyNumberFormat="1" applyFont="1" applyFill="1" applyBorder="1" applyAlignment="1">
      <alignment horizontal="center" vertical="center"/>
    </xf>
    <xf numFmtId="164" fontId="10" fillId="0" borderId="44" xfId="0" applyNumberFormat="1" applyFont="1" applyBorder="1" applyAlignment="1">
      <alignment horizontal="center" vertical="center"/>
    </xf>
    <xf numFmtId="1" fontId="29" fillId="0" borderId="31" xfId="0" applyNumberFormat="1" applyFont="1" applyBorder="1" applyAlignment="1">
      <alignment horizontal="center"/>
    </xf>
    <xf numFmtId="0" fontId="10" fillId="0" borderId="20" xfId="0" applyFont="1" applyBorder="1" applyAlignment="1">
      <alignment horizontal="center" vertical="center"/>
    </xf>
    <xf numFmtId="0" fontId="10" fillId="0" borderId="8" xfId="0" applyFont="1" applyBorder="1" applyAlignment="1">
      <alignment horizontal="center" vertical="center"/>
    </xf>
    <xf numFmtId="0" fontId="11" fillId="0" borderId="8" xfId="0" applyFont="1" applyBorder="1" applyAlignment="1">
      <alignment horizontal="center" vertical="center"/>
    </xf>
    <xf numFmtId="0" fontId="10" fillId="0" borderId="12" xfId="0" applyFont="1" applyBorder="1" applyAlignment="1">
      <alignment horizontal="center" vertical="center"/>
    </xf>
    <xf numFmtId="0" fontId="2" fillId="0" borderId="8" xfId="0" applyFont="1" applyBorder="1" applyAlignment="1">
      <alignment horizontal="center" vertical="center"/>
    </xf>
    <xf numFmtId="0" fontId="10" fillId="0" borderId="21" xfId="0" applyFont="1" applyBorder="1" applyAlignment="1">
      <alignment horizontal="center" vertical="center"/>
    </xf>
    <xf numFmtId="0" fontId="10" fillId="0" borderId="2" xfId="0" applyFont="1" applyBorder="1" applyAlignment="1">
      <alignment horizontal="center" vertical="center"/>
    </xf>
    <xf numFmtId="0" fontId="10" fillId="0" borderId="11" xfId="0" applyFont="1" applyBorder="1" applyAlignment="1">
      <alignment horizontal="center" vertical="center"/>
    </xf>
    <xf numFmtId="0" fontId="34" fillId="0" borderId="22" xfId="0" applyFont="1" applyBorder="1" applyAlignment="1">
      <alignment horizontal="center" vertical="center"/>
    </xf>
    <xf numFmtId="0" fontId="34" fillId="0" borderId="4" xfId="0" applyFont="1" applyBorder="1" applyAlignment="1">
      <alignment horizontal="center" vertical="center"/>
    </xf>
    <xf numFmtId="0" fontId="34" fillId="0" borderId="3" xfId="0" applyFont="1" applyBorder="1" applyAlignment="1">
      <alignment horizontal="center" vertical="center"/>
    </xf>
    <xf numFmtId="0" fontId="34" fillId="0" borderId="5" xfId="0" applyFont="1" applyBorder="1" applyAlignment="1">
      <alignment horizontal="center" vertical="center"/>
    </xf>
    <xf numFmtId="0" fontId="34" fillId="0" borderId="6" xfId="0" applyFont="1" applyBorder="1" applyAlignment="1">
      <alignment horizontal="center" vertical="center"/>
    </xf>
    <xf numFmtId="0" fontId="34" fillId="0" borderId="11" xfId="0" applyFont="1" applyBorder="1" applyAlignment="1">
      <alignment horizontal="center" vertical="center"/>
    </xf>
    <xf numFmtId="0" fontId="34" fillId="0" borderId="2" xfId="0" applyFont="1" applyBorder="1" applyAlignment="1">
      <alignment horizontal="center" vertical="center"/>
    </xf>
    <xf numFmtId="0" fontId="34" fillId="0" borderId="0" xfId="0" applyFont="1" applyAlignment="1">
      <alignment horizontal="center" vertical="center"/>
    </xf>
    <xf numFmtId="1" fontId="10" fillId="0" borderId="57" xfId="0" applyNumberFormat="1" applyFont="1" applyBorder="1" applyAlignment="1">
      <alignment horizontal="center" vertical="center"/>
    </xf>
    <xf numFmtId="1" fontId="10" fillId="0" borderId="7" xfId="0" applyNumberFormat="1" applyFont="1" applyBorder="1" applyAlignment="1">
      <alignment horizontal="center" vertical="center"/>
    </xf>
    <xf numFmtId="1" fontId="2" fillId="0" borderId="10" xfId="0" applyNumberFormat="1" applyFont="1" applyBorder="1" applyAlignment="1">
      <alignment horizontal="center" vertical="center"/>
    </xf>
    <xf numFmtId="1" fontId="2" fillId="0" borderId="8" xfId="0" applyNumberFormat="1" applyFont="1" applyBorder="1" applyAlignment="1">
      <alignment horizontal="center" vertical="center"/>
    </xf>
    <xf numFmtId="1" fontId="2" fillId="0" borderId="7" xfId="0" applyNumberFormat="1" applyFont="1" applyBorder="1" applyAlignment="1">
      <alignment horizontal="center" vertical="center"/>
    </xf>
    <xf numFmtId="1" fontId="11" fillId="0" borderId="8" xfId="0" applyNumberFormat="1" applyFont="1" applyBorder="1" applyAlignment="1">
      <alignment horizontal="center" vertical="center"/>
    </xf>
    <xf numFmtId="1" fontId="2" fillId="0" borderId="12" xfId="0" applyNumberFormat="1" applyFont="1" applyBorder="1" applyAlignment="1">
      <alignment horizontal="center" vertical="center"/>
    </xf>
    <xf numFmtId="1" fontId="44" fillId="0" borderId="1" xfId="0" applyNumberFormat="1" applyFont="1" applyBorder="1" applyAlignment="1">
      <alignment horizontal="center" vertical="center"/>
    </xf>
    <xf numFmtId="1" fontId="44" fillId="0" borderId="2" xfId="0" applyNumberFormat="1" applyFont="1" applyBorder="1" applyAlignment="1">
      <alignment horizontal="center" vertical="center"/>
    </xf>
    <xf numFmtId="1" fontId="10" fillId="0" borderId="2" xfId="0" applyNumberFormat="1" applyFont="1" applyBorder="1" applyAlignment="1">
      <alignment horizontal="center" vertical="center"/>
    </xf>
    <xf numFmtId="1" fontId="2" fillId="0" borderId="2" xfId="0" applyNumberFormat="1" applyFont="1" applyBorder="1" applyAlignment="1">
      <alignment horizontal="center" vertical="center"/>
    </xf>
    <xf numFmtId="1" fontId="2" fillId="0" borderId="9" xfId="0" applyNumberFormat="1" applyFont="1" applyBorder="1" applyAlignment="1">
      <alignment horizontal="center" vertical="center"/>
    </xf>
    <xf numFmtId="0" fontId="2" fillId="0" borderId="2" xfId="0" applyFont="1" applyBorder="1" applyAlignment="1">
      <alignment horizontal="center" vertical="center"/>
    </xf>
    <xf numFmtId="0" fontId="2" fillId="0" borderId="11" xfId="0" applyFont="1" applyBorder="1" applyAlignment="1">
      <alignment horizontal="center" vertical="center"/>
    </xf>
    <xf numFmtId="0" fontId="2" fillId="0" borderId="1" xfId="0" applyFont="1" applyBorder="1" applyAlignment="1">
      <alignment horizontal="center" vertical="center"/>
    </xf>
    <xf numFmtId="0" fontId="10" fillId="0" borderId="57" xfId="0" applyFont="1" applyBorder="1" applyAlignment="1">
      <alignment horizontal="center" vertical="center"/>
    </xf>
    <xf numFmtId="0" fontId="3" fillId="0" borderId="7" xfId="0" applyFont="1" applyBorder="1" applyAlignment="1">
      <alignment horizontal="center" vertical="center"/>
    </xf>
    <xf numFmtId="0" fontId="10" fillId="0" borderId="7" xfId="0" applyFont="1" applyBorder="1" applyAlignment="1">
      <alignment horizontal="center" vertical="center"/>
    </xf>
    <xf numFmtId="0" fontId="2" fillId="0" borderId="0" xfId="0" applyFont="1" applyAlignment="1">
      <alignment horizontal="center" vertical="center"/>
    </xf>
    <xf numFmtId="0" fontId="2" fillId="0" borderId="10" xfId="0" applyFont="1" applyBorder="1" applyAlignment="1">
      <alignment horizontal="center" vertical="center"/>
    </xf>
    <xf numFmtId="0" fontId="2" fillId="0" borderId="9" xfId="0" applyFont="1" applyBorder="1" applyAlignment="1">
      <alignment horizontal="center" vertical="center"/>
    </xf>
    <xf numFmtId="0" fontId="2" fillId="0" borderId="21" xfId="0" applyFont="1" applyBorder="1" applyAlignment="1">
      <alignment horizontal="center" vertical="center"/>
    </xf>
    <xf numFmtId="0" fontId="2" fillId="0" borderId="12" xfId="0" applyFont="1" applyBorder="1" applyAlignment="1">
      <alignment horizontal="center" vertical="center"/>
    </xf>
    <xf numFmtId="0" fontId="10" fillId="0" borderId="0" xfId="0" applyFont="1" applyAlignment="1">
      <alignment horizontal="center" vertical="center"/>
    </xf>
    <xf numFmtId="164" fontId="2" fillId="0" borderId="2" xfId="0" applyNumberFormat="1" applyFont="1" applyBorder="1" applyAlignment="1">
      <alignment horizontal="center" vertical="center"/>
    </xf>
    <xf numFmtId="0" fontId="34" fillId="0" borderId="21" xfId="0" applyFont="1" applyBorder="1" applyAlignment="1">
      <alignment horizontal="center" vertical="center"/>
    </xf>
    <xf numFmtId="0" fontId="34" fillId="0" borderId="1" xfId="0" applyFont="1" applyBorder="1" applyAlignment="1">
      <alignment horizontal="center" vertical="center"/>
    </xf>
    <xf numFmtId="0" fontId="44" fillId="0" borderId="20" xfId="0" applyFont="1" applyBorder="1" applyAlignment="1">
      <alignment horizontal="center" vertical="center"/>
    </xf>
    <xf numFmtId="0" fontId="44" fillId="0" borderId="8" xfId="0" applyFont="1" applyBorder="1" applyAlignment="1">
      <alignment horizontal="center" vertical="center"/>
    </xf>
    <xf numFmtId="0" fontId="14" fillId="0" borderId="11" xfId="0" applyFont="1" applyBorder="1" applyAlignment="1">
      <alignment horizontal="center" vertical="center"/>
    </xf>
    <xf numFmtId="0" fontId="2" fillId="0" borderId="22" xfId="0" applyFont="1" applyBorder="1" applyAlignment="1">
      <alignment horizontal="center" vertical="center"/>
    </xf>
    <xf numFmtId="0" fontId="2" fillId="0" borderId="4" xfId="0" applyFont="1" applyBorder="1" applyAlignment="1">
      <alignment horizontal="center" vertical="center"/>
    </xf>
    <xf numFmtId="0" fontId="2" fillId="0" borderId="20" xfId="0" applyFont="1" applyBorder="1" applyAlignment="1">
      <alignment horizontal="center" vertical="center"/>
    </xf>
    <xf numFmtId="0" fontId="15" fillId="0" borderId="38" xfId="0" applyFont="1" applyBorder="1" applyAlignment="1">
      <alignment horizontal="center"/>
    </xf>
    <xf numFmtId="0" fontId="15" fillId="0" borderId="24" xfId="0" applyFont="1" applyBorder="1" applyAlignment="1">
      <alignment horizontal="center"/>
    </xf>
    <xf numFmtId="0" fontId="17" fillId="0" borderId="24" xfId="0" applyFont="1" applyBorder="1" applyAlignment="1">
      <alignment horizontal="center"/>
    </xf>
    <xf numFmtId="0" fontId="18" fillId="0" borderId="24" xfId="0" applyFont="1" applyBorder="1" applyAlignment="1">
      <alignment horizontal="center"/>
    </xf>
    <xf numFmtId="0" fontId="15" fillId="0" borderId="24" xfId="0" applyFont="1" applyBorder="1" applyAlignment="1">
      <alignment horizontal="center" vertical="center"/>
    </xf>
    <xf numFmtId="0" fontId="15" fillId="0" borderId="26" xfId="0" applyFont="1" applyBorder="1" applyAlignment="1">
      <alignment horizontal="center"/>
    </xf>
    <xf numFmtId="0" fontId="15" fillId="0" borderId="50" xfId="0" applyFont="1" applyBorder="1" applyAlignment="1">
      <alignment horizontal="center"/>
    </xf>
    <xf numFmtId="0" fontId="15" fillId="0" borderId="47" xfId="0" applyFont="1" applyBorder="1" applyAlignment="1">
      <alignment horizontal="center"/>
    </xf>
    <xf numFmtId="0" fontId="17" fillId="0" borderId="47" xfId="0" applyFont="1" applyBorder="1" applyAlignment="1">
      <alignment horizontal="center"/>
    </xf>
    <xf numFmtId="0" fontId="18" fillId="0" borderId="47" xfId="0" applyFont="1" applyBorder="1" applyAlignment="1">
      <alignment horizontal="center"/>
    </xf>
    <xf numFmtId="0" fontId="12" fillId="0" borderId="51" xfId="0" applyFont="1" applyBorder="1" applyAlignment="1">
      <alignment horizontal="center" vertical="center"/>
    </xf>
    <xf numFmtId="0" fontId="12" fillId="0" borderId="47" xfId="0" applyFont="1" applyBorder="1" applyAlignment="1">
      <alignment horizontal="center"/>
    </xf>
    <xf numFmtId="0" fontId="15" fillId="0" borderId="48" xfId="0" applyFont="1" applyBorder="1" applyAlignment="1">
      <alignment horizontal="center"/>
    </xf>
    <xf numFmtId="0" fontId="12" fillId="0" borderId="58" xfId="0" applyFont="1" applyBorder="1" applyAlignment="1">
      <alignment horizontal="center" vertical="center"/>
    </xf>
    <xf numFmtId="0" fontId="12" fillId="0" borderId="39" xfId="0" applyFont="1" applyBorder="1" applyAlignment="1">
      <alignment horizontal="center" vertical="center"/>
    </xf>
    <xf numFmtId="0" fontId="12" fillId="0" borderId="40" xfId="0" applyFont="1" applyBorder="1" applyAlignment="1">
      <alignment horizontal="center" vertical="center"/>
    </xf>
    <xf numFmtId="0" fontId="12" fillId="0" borderId="41" xfId="0" applyFont="1" applyBorder="1" applyAlignment="1">
      <alignment horizontal="center" vertical="center"/>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6" xfId="0" applyFont="1" applyBorder="1" applyAlignment="1">
      <alignment horizontal="center" vertical="center"/>
    </xf>
    <xf numFmtId="0" fontId="12" fillId="0" borderId="5" xfId="0" applyFont="1" applyBorder="1" applyAlignment="1">
      <alignment horizontal="center" vertical="center"/>
    </xf>
    <xf numFmtId="0" fontId="12" fillId="0" borderId="21" xfId="0" applyFont="1" applyBorder="1" applyAlignment="1">
      <alignment horizontal="center" vertical="center"/>
    </xf>
    <xf numFmtId="0" fontId="12" fillId="0" borderId="11" xfId="0" applyFont="1" applyBorder="1" applyAlignment="1">
      <alignment horizontal="center" vertical="center"/>
    </xf>
    <xf numFmtId="0" fontId="11" fillId="0" borderId="20" xfId="0" applyFont="1" applyBorder="1" applyAlignment="1">
      <alignment horizontal="center" vertical="center"/>
    </xf>
    <xf numFmtId="0" fontId="11" fillId="0" borderId="12" xfId="0" applyFont="1" applyBorder="1" applyAlignment="1">
      <alignment horizontal="center" vertical="center"/>
    </xf>
    <xf numFmtId="0" fontId="10" fillId="0" borderId="1" xfId="0" applyFont="1" applyBorder="1" applyAlignment="1">
      <alignment horizontal="center" vertical="center"/>
    </xf>
    <xf numFmtId="0" fontId="10" fillId="0" borderId="10" xfId="0" applyFont="1" applyBorder="1" applyAlignment="1">
      <alignment horizontal="center" vertical="center"/>
    </xf>
    <xf numFmtId="0" fontId="10" fillId="0" borderId="9" xfId="0" applyFont="1" applyBorder="1" applyAlignment="1">
      <alignment horizontal="center" vertical="center"/>
    </xf>
    <xf numFmtId="0" fontId="11" fillId="0" borderId="2" xfId="0" applyFont="1" applyBorder="1" applyAlignment="1">
      <alignment horizontal="center" vertical="center"/>
    </xf>
    <xf numFmtId="0" fontId="44" fillId="0" borderId="10" xfId="0" applyFont="1" applyBorder="1" applyAlignment="1">
      <alignment horizontal="center" vertical="center"/>
    </xf>
    <xf numFmtId="0" fontId="45" fillId="0" borderId="8" xfId="0" applyFont="1" applyBorder="1" applyAlignment="1">
      <alignment horizontal="center" vertical="center"/>
    </xf>
    <xf numFmtId="0" fontId="11" fillId="0" borderId="1" xfId="0" applyFont="1" applyBorder="1" applyAlignment="1">
      <alignment horizontal="center" vertical="center"/>
    </xf>
    <xf numFmtId="0" fontId="44" fillId="0" borderId="7" xfId="0" applyFont="1" applyBorder="1" applyAlignment="1">
      <alignment horizontal="center" vertical="center"/>
    </xf>
    <xf numFmtId="0" fontId="44" fillId="0" borderId="2" xfId="0" applyFont="1" applyBorder="1" applyAlignment="1">
      <alignment horizontal="center" vertical="center"/>
    </xf>
    <xf numFmtId="0" fontId="41" fillId="0" borderId="22" xfId="0" applyFont="1" applyBorder="1" applyAlignment="1">
      <alignment horizontal="center" vertical="center"/>
    </xf>
    <xf numFmtId="0" fontId="41" fillId="0" borderId="4" xfId="0" applyFont="1" applyBorder="1" applyAlignment="1">
      <alignment horizontal="center" vertical="center"/>
    </xf>
    <xf numFmtId="0" fontId="41" fillId="0" borderId="3" xfId="0" applyFont="1" applyBorder="1" applyAlignment="1">
      <alignment horizontal="center" vertical="center"/>
    </xf>
    <xf numFmtId="0" fontId="41" fillId="0" borderId="5" xfId="0" applyFont="1" applyBorder="1" applyAlignment="1">
      <alignment horizontal="center" vertical="center"/>
    </xf>
    <xf numFmtId="0" fontId="41" fillId="0" borderId="6" xfId="0" applyFont="1" applyBorder="1" applyAlignment="1">
      <alignment horizontal="center" vertical="center"/>
    </xf>
    <xf numFmtId="0" fontId="44" fillId="0" borderId="1" xfId="0" applyFont="1" applyBorder="1" applyAlignment="1">
      <alignment horizontal="center" vertical="center"/>
    </xf>
    <xf numFmtId="0" fontId="1" fillId="0" borderId="8" xfId="0" applyFont="1" applyBorder="1" applyAlignment="1">
      <alignment horizontal="center" vertical="center"/>
    </xf>
    <xf numFmtId="0" fontId="35" fillId="0" borderId="6" xfId="0" applyFont="1" applyBorder="1" applyAlignment="1">
      <alignment horizontal="center" vertical="center"/>
    </xf>
    <xf numFmtId="0" fontId="16" fillId="0" borderId="38" xfId="0" applyFont="1" applyBorder="1" applyAlignment="1">
      <alignment horizontal="center" vertical="center"/>
    </xf>
    <xf numFmtId="0" fontId="16" fillId="0" borderId="24" xfId="0" applyFont="1" applyBorder="1" applyAlignment="1">
      <alignment horizontal="center" vertical="center"/>
    </xf>
    <xf numFmtId="0" fontId="16" fillId="0" borderId="23" xfId="0" applyFont="1" applyBorder="1" applyAlignment="1">
      <alignment horizontal="center" vertical="center"/>
    </xf>
    <xf numFmtId="0" fontId="16" fillId="0" borderId="28" xfId="0" applyFont="1" applyBorder="1" applyAlignment="1">
      <alignment horizontal="center" vertic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5" fillId="0" borderId="50" xfId="0" applyFont="1" applyBorder="1" applyAlignment="1">
      <alignment horizontal="center" vertical="center"/>
    </xf>
    <xf numFmtId="0" fontId="15" fillId="0" borderId="47" xfId="0" applyFont="1" applyBorder="1" applyAlignment="1">
      <alignment horizontal="center" vertical="center"/>
    </xf>
    <xf numFmtId="0" fontId="15" fillId="0" borderId="48" xfId="0" applyFont="1" applyBorder="1" applyAlignment="1">
      <alignment horizontal="center" vertical="center"/>
    </xf>
    <xf numFmtId="164" fontId="10" fillId="19" borderId="34" xfId="0" applyNumberFormat="1" applyFont="1" applyFill="1" applyBorder="1" applyAlignment="1">
      <alignment horizontal="center" vertical="center"/>
    </xf>
    <xf numFmtId="0" fontId="34" fillId="0" borderId="19"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15" fillId="0" borderId="38" xfId="0" applyFont="1" applyBorder="1" applyAlignment="1">
      <alignment horizontal="center" vertical="center"/>
    </xf>
    <xf numFmtId="0" fontId="17" fillId="0" borderId="24" xfId="0" applyFont="1" applyBorder="1" applyAlignment="1">
      <alignment horizontal="center" vertical="center"/>
    </xf>
    <xf numFmtId="0" fontId="42" fillId="0" borderId="24" xfId="0" applyFont="1" applyBorder="1" applyAlignment="1">
      <alignment horizontal="center" vertical="center"/>
    </xf>
    <xf numFmtId="0" fontId="43" fillId="0" borderId="24" xfId="0" applyFont="1" applyBorder="1" applyAlignment="1">
      <alignment horizontal="center" vertical="center"/>
    </xf>
    <xf numFmtId="0" fontId="23" fillId="0" borderId="24" xfId="0" applyFont="1" applyBorder="1" applyAlignment="1">
      <alignment horizontal="center" vertical="center"/>
    </xf>
    <xf numFmtId="0" fontId="33" fillId="0" borderId="26" xfId="0" applyFont="1" applyBorder="1" applyAlignment="1">
      <alignment horizontal="center" vertical="center"/>
    </xf>
    <xf numFmtId="0" fontId="15" fillId="0" borderId="23" xfId="0" applyFont="1" applyBorder="1" applyAlignment="1">
      <alignment horizontal="center" vertical="center"/>
    </xf>
    <xf numFmtId="0" fontId="12" fillId="0" borderId="12" xfId="0" applyFont="1" applyBorder="1" applyAlignment="1">
      <alignment horizontal="center"/>
    </xf>
    <xf numFmtId="0" fontId="12" fillId="0" borderId="20" xfId="0" applyFont="1" applyBorder="1" applyAlignment="1">
      <alignment horizontal="center"/>
    </xf>
    <xf numFmtId="1" fontId="2" fillId="12" borderId="10" xfId="0" applyNumberFormat="1" applyFont="1" applyFill="1" applyBorder="1" applyAlignment="1">
      <alignment horizontal="center" vertical="center"/>
    </xf>
    <xf numFmtId="0" fontId="44" fillId="12" borderId="8" xfId="0" applyFont="1" applyFill="1" applyBorder="1" applyAlignment="1">
      <alignment horizontal="center" vertical="center"/>
    </xf>
    <xf numFmtId="1" fontId="11" fillId="12" borderId="8" xfId="0" applyNumberFormat="1" applyFont="1" applyFill="1" applyBorder="1" applyAlignment="1">
      <alignment horizontal="center" vertical="center"/>
    </xf>
    <xf numFmtId="1" fontId="2" fillId="12" borderId="12" xfId="0" applyNumberFormat="1" applyFont="1" applyFill="1" applyBorder="1" applyAlignment="1">
      <alignment horizontal="center" vertical="center"/>
    </xf>
    <xf numFmtId="0" fontId="45" fillId="12" borderId="8" xfId="0" applyFont="1" applyFill="1" applyBorder="1" applyAlignment="1">
      <alignment horizontal="center" vertical="center"/>
    </xf>
    <xf numFmtId="0" fontId="34" fillId="12" borderId="19" xfId="0" applyFont="1" applyFill="1" applyBorder="1" applyAlignment="1">
      <alignment horizontal="center" vertical="center"/>
    </xf>
    <xf numFmtId="1" fontId="44" fillId="12" borderId="2" xfId="0" applyNumberFormat="1" applyFont="1" applyFill="1" applyBorder="1" applyAlignment="1">
      <alignment horizontal="center" vertical="center"/>
    </xf>
    <xf numFmtId="0" fontId="14" fillId="12" borderId="2" xfId="0" applyFont="1" applyFill="1" applyBorder="1" applyAlignment="1">
      <alignment horizontal="center" vertical="center"/>
    </xf>
    <xf numFmtId="0" fontId="44" fillId="12" borderId="10" xfId="0" applyFont="1" applyFill="1" applyBorder="1" applyAlignment="1">
      <alignment horizontal="center" vertical="center"/>
    </xf>
    <xf numFmtId="0" fontId="11" fillId="12" borderId="12" xfId="0" applyFont="1" applyFill="1" applyBorder="1" applyAlignment="1">
      <alignment horizontal="center" vertical="center"/>
    </xf>
    <xf numFmtId="0" fontId="41" fillId="12" borderId="6" xfId="0" applyFont="1" applyFill="1" applyBorder="1" applyAlignment="1">
      <alignment horizontal="center" vertical="center"/>
    </xf>
    <xf numFmtId="0" fontId="12" fillId="12" borderId="21" xfId="0" applyFont="1" applyFill="1" applyBorder="1" applyAlignment="1">
      <alignment horizontal="center" vertical="center"/>
    </xf>
    <xf numFmtId="0" fontId="11" fillId="12" borderId="20" xfId="0" applyFont="1" applyFill="1" applyBorder="1" applyAlignment="1">
      <alignment horizontal="center" vertical="center"/>
    </xf>
    <xf numFmtId="0" fontId="12" fillId="12" borderId="0" xfId="0" applyFont="1" applyFill="1" applyAlignment="1">
      <alignment horizontal="center" vertical="center"/>
    </xf>
    <xf numFmtId="0" fontId="44" fillId="12" borderId="7" xfId="0" applyFont="1" applyFill="1" applyBorder="1" applyAlignment="1">
      <alignment horizontal="center" vertical="center"/>
    </xf>
    <xf numFmtId="0" fontId="1" fillId="12" borderId="8" xfId="0" applyFont="1" applyFill="1" applyBorder="1" applyAlignment="1">
      <alignment horizontal="center" vertical="center"/>
    </xf>
    <xf numFmtId="0" fontId="41" fillId="0" borderId="21" xfId="0" applyFont="1" applyBorder="1" applyAlignment="1">
      <alignment horizontal="center" vertical="center"/>
    </xf>
    <xf numFmtId="0" fontId="41" fillId="12" borderId="2" xfId="0" applyFont="1" applyFill="1" applyBorder="1" applyAlignment="1">
      <alignment horizontal="center" vertical="center"/>
    </xf>
    <xf numFmtId="0" fontId="41" fillId="0" borderId="1" xfId="0" applyFont="1" applyBorder="1" applyAlignment="1">
      <alignment horizontal="center" vertical="center"/>
    </xf>
    <xf numFmtId="0" fontId="41" fillId="0" borderId="2" xfId="0" applyFont="1" applyBorder="1" applyAlignment="1">
      <alignment horizontal="center" vertical="center"/>
    </xf>
    <xf numFmtId="0" fontId="41" fillId="12" borderId="0" xfId="0" applyFont="1" applyFill="1" applyAlignment="1">
      <alignment horizontal="center" vertical="center"/>
    </xf>
    <xf numFmtId="0" fontId="41" fillId="0" borderId="0" xfId="0" applyFont="1" applyAlignment="1">
      <alignment horizontal="center" vertical="center"/>
    </xf>
    <xf numFmtId="0" fontId="41" fillId="0" borderId="11" xfId="0" applyFont="1" applyBorder="1" applyAlignment="1">
      <alignment horizontal="center" vertical="center"/>
    </xf>
    <xf numFmtId="0" fontId="29" fillId="17" borderId="62" xfId="0" applyFont="1" applyFill="1" applyBorder="1" applyAlignment="1">
      <alignment horizontal="center"/>
    </xf>
    <xf numFmtId="164" fontId="10" fillId="4" borderId="44" xfId="0" applyNumberFormat="1" applyFont="1" applyFill="1" applyBorder="1" applyAlignment="1">
      <alignment horizontal="center"/>
    </xf>
    <xf numFmtId="1" fontId="11" fillId="12" borderId="1" xfId="0" applyNumberFormat="1" applyFont="1" applyFill="1" applyBorder="1" applyAlignment="1">
      <alignment horizontal="center" vertical="center"/>
    </xf>
    <xf numFmtId="0" fontId="30" fillId="12" borderId="31" xfId="0" applyFont="1" applyFill="1" applyBorder="1" applyProtection="1">
      <protection locked="0"/>
    </xf>
    <xf numFmtId="0" fontId="32" fillId="12" borderId="31" xfId="0" applyFont="1" applyFill="1" applyBorder="1" applyProtection="1">
      <protection locked="0"/>
    </xf>
    <xf numFmtId="1" fontId="29" fillId="17" borderId="31" xfId="0" applyNumberFormat="1" applyFont="1" applyFill="1" applyBorder="1" applyAlignment="1">
      <alignment horizontal="center"/>
    </xf>
    <xf numFmtId="0" fontId="30" fillId="21" borderId="31" xfId="0" applyFont="1" applyFill="1" applyBorder="1" applyProtection="1">
      <protection locked="0"/>
    </xf>
    <xf numFmtId="0" fontId="30" fillId="21" borderId="62" xfId="0" applyFont="1" applyFill="1" applyBorder="1" applyProtection="1">
      <protection locked="0"/>
    </xf>
    <xf numFmtId="0" fontId="37" fillId="16" borderId="34" xfId="0" applyFont="1" applyFill="1" applyBorder="1"/>
    <xf numFmtId="0" fontId="11" fillId="12" borderId="64" xfId="0" applyFont="1" applyFill="1" applyBorder="1" applyAlignment="1">
      <alignment horizontal="center" vertical="center"/>
    </xf>
    <xf numFmtId="0" fontId="10" fillId="12" borderId="19" xfId="0" applyFont="1" applyFill="1" applyBorder="1" applyAlignment="1">
      <alignment horizontal="center" vertical="center"/>
    </xf>
    <xf numFmtId="0" fontId="41" fillId="12" borderId="65" xfId="0" applyFont="1" applyFill="1" applyBorder="1" applyAlignment="1">
      <alignment horizontal="center" vertical="center"/>
    </xf>
    <xf numFmtId="0" fontId="6" fillId="22" borderId="56" xfId="0" applyFont="1" applyFill="1" applyBorder="1" applyAlignment="1">
      <alignment horizontal="center" vertical="center"/>
    </xf>
    <xf numFmtId="0" fontId="12" fillId="3" borderId="39" xfId="0" applyFont="1" applyFill="1" applyBorder="1" applyAlignment="1">
      <alignment horizontal="center" vertical="center"/>
    </xf>
    <xf numFmtId="0" fontId="12" fillId="3" borderId="4"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2" xfId="0" applyFont="1" applyFill="1" applyBorder="1" applyAlignment="1">
      <alignment horizontal="center" vertical="center"/>
    </xf>
    <xf numFmtId="0" fontId="34" fillId="3" borderId="4" xfId="0" applyFont="1" applyFill="1" applyBorder="1" applyAlignment="1">
      <alignment horizontal="center" vertical="center"/>
    </xf>
    <xf numFmtId="1" fontId="10" fillId="3" borderId="7"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34" fillId="3" borderId="2" xfId="0" applyFont="1" applyFill="1" applyBorder="1" applyAlignment="1">
      <alignment horizontal="center" vertical="center"/>
    </xf>
    <xf numFmtId="0" fontId="44" fillId="3" borderId="8" xfId="0" applyFont="1" applyFill="1" applyBorder="1" applyAlignment="1">
      <alignment horizontal="center" vertical="center"/>
    </xf>
    <xf numFmtId="0" fontId="2" fillId="3" borderId="8" xfId="0" applyFont="1" applyFill="1" applyBorder="1" applyAlignment="1">
      <alignment horizontal="center" vertical="center"/>
    </xf>
    <xf numFmtId="0" fontId="34" fillId="3" borderId="5" xfId="0" applyFont="1" applyFill="1" applyBorder="1" applyAlignment="1">
      <alignment horizontal="center" vertical="center"/>
    </xf>
    <xf numFmtId="0" fontId="2" fillId="3" borderId="0" xfId="0" applyFont="1" applyFill="1" applyAlignment="1">
      <alignment horizontal="center" vertical="center"/>
    </xf>
    <xf numFmtId="0" fontId="11" fillId="3" borderId="8" xfId="0" applyFont="1" applyFill="1" applyBorder="1" applyAlignment="1">
      <alignment horizontal="center" vertical="center"/>
    </xf>
    <xf numFmtId="0" fontId="2" fillId="3" borderId="9" xfId="0" applyFont="1" applyFill="1" applyBorder="1" applyAlignment="1">
      <alignment horizontal="center" vertical="center"/>
    </xf>
    <xf numFmtId="1" fontId="2" fillId="3" borderId="7" xfId="0" applyNumberFormat="1" applyFont="1" applyFill="1" applyBorder="1" applyAlignment="1">
      <alignment horizontal="center" vertical="center"/>
    </xf>
    <xf numFmtId="0" fontId="12" fillId="2" borderId="39" xfId="0" applyFont="1" applyFill="1" applyBorder="1" applyAlignment="1">
      <alignment horizontal="center" vertical="center"/>
    </xf>
    <xf numFmtId="0" fontId="12" fillId="2" borderId="4" xfId="0" applyFont="1" applyFill="1" applyBorder="1" applyAlignment="1">
      <alignment horizontal="center" vertical="center"/>
    </xf>
    <xf numFmtId="0" fontId="10" fillId="2" borderId="2" xfId="0" applyFont="1" applyFill="1" applyBorder="1" applyAlignment="1">
      <alignment horizontal="center" vertical="center"/>
    </xf>
    <xf numFmtId="0" fontId="34" fillId="2" borderId="4" xfId="0" applyFont="1" applyFill="1" applyBorder="1" applyAlignment="1">
      <alignment horizontal="center" vertical="center"/>
    </xf>
    <xf numFmtId="1" fontId="10" fillId="2" borderId="7"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4" fillId="2" borderId="8"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8" xfId="0" applyFont="1" applyFill="1" applyBorder="1" applyAlignment="1">
      <alignment horizontal="center" vertical="center"/>
    </xf>
    <xf numFmtId="0" fontId="34" fillId="3" borderId="6" xfId="0" applyFont="1" applyFill="1" applyBorder="1" applyAlignment="1">
      <alignment horizontal="center" vertical="center"/>
    </xf>
    <xf numFmtId="1" fontId="10" fillId="3" borderId="2" xfId="0" applyNumberFormat="1" applyFont="1" applyFill="1" applyBorder="1" applyAlignment="1">
      <alignment horizontal="center" vertical="center"/>
    </xf>
    <xf numFmtId="0" fontId="12" fillId="3" borderId="2" xfId="0" applyFont="1" applyFill="1" applyBorder="1" applyAlignment="1">
      <alignment horizontal="center" vertical="center"/>
    </xf>
    <xf numFmtId="0" fontId="41" fillId="3" borderId="4" xfId="0" applyFont="1" applyFill="1" applyBorder="1" applyAlignment="1">
      <alignment horizontal="center" vertical="center"/>
    </xf>
    <xf numFmtId="0" fontId="10" fillId="3" borderId="7" xfId="0" applyFont="1" applyFill="1" applyBorder="1" applyAlignment="1">
      <alignment horizontal="center" vertical="center"/>
    </xf>
    <xf numFmtId="0" fontId="41" fillId="3" borderId="5" xfId="0" applyFont="1" applyFill="1" applyBorder="1" applyAlignment="1">
      <alignment horizontal="center" vertical="center"/>
    </xf>
    <xf numFmtId="0" fontId="2" fillId="3" borderId="10"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3" xfId="0" applyFont="1" applyFill="1" applyBorder="1" applyAlignment="1">
      <alignment horizontal="center" vertical="center"/>
    </xf>
    <xf numFmtId="1" fontId="11" fillId="3" borderId="8" xfId="0" applyNumberFormat="1" applyFont="1" applyFill="1" applyBorder="1" applyAlignment="1">
      <alignment horizontal="center" vertical="center"/>
    </xf>
    <xf numFmtId="0" fontId="34" fillId="3" borderId="3" xfId="0" applyFont="1" applyFill="1" applyBorder="1" applyAlignment="1">
      <alignment horizontal="center" vertical="center"/>
    </xf>
    <xf numFmtId="0" fontId="34" fillId="3" borderId="11" xfId="0" applyFont="1" applyFill="1" applyBorder="1" applyAlignment="1">
      <alignment horizontal="center" vertical="center"/>
    </xf>
    <xf numFmtId="0" fontId="12"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0" fillId="3" borderId="0" xfId="0" applyFont="1" applyFill="1" applyAlignment="1">
      <alignment horizontal="center" vertical="center"/>
    </xf>
    <xf numFmtId="0" fontId="10" fillId="3" borderId="9" xfId="0" applyFont="1" applyFill="1" applyBorder="1" applyAlignment="1">
      <alignment horizontal="center" vertical="center"/>
    </xf>
    <xf numFmtId="0" fontId="2" fillId="3" borderId="11" xfId="0" applyFont="1" applyFill="1" applyBorder="1" applyAlignment="1">
      <alignment horizontal="center" vertical="center"/>
    </xf>
    <xf numFmtId="1" fontId="2" fillId="3" borderId="2" xfId="0" applyNumberFormat="1" applyFont="1" applyFill="1" applyBorder="1" applyAlignment="1">
      <alignment horizontal="center" vertical="center"/>
    </xf>
    <xf numFmtId="0" fontId="10" fillId="3" borderId="10" xfId="0" applyFont="1" applyFill="1" applyBorder="1" applyAlignment="1">
      <alignment horizontal="center" vertical="center"/>
    </xf>
    <xf numFmtId="0" fontId="10" fillId="3" borderId="1" xfId="0" applyFont="1" applyFill="1" applyBorder="1" applyAlignment="1">
      <alignment horizontal="center" vertical="center"/>
    </xf>
    <xf numFmtId="0" fontId="12" fillId="3" borderId="42" xfId="0" applyFont="1" applyFill="1" applyBorder="1" applyAlignment="1">
      <alignment horizontal="center" vertical="center"/>
    </xf>
    <xf numFmtId="0" fontId="10" fillId="3" borderId="12" xfId="0" applyFont="1" applyFill="1" applyBorder="1" applyAlignment="1">
      <alignment horizontal="center" vertical="center"/>
    </xf>
    <xf numFmtId="0" fontId="2" fillId="3" borderId="12" xfId="0" applyFont="1" applyFill="1" applyBorder="1" applyAlignment="1">
      <alignment horizontal="center" vertical="center"/>
    </xf>
    <xf numFmtId="0" fontId="45" fillId="3" borderId="8" xfId="0" applyFont="1" applyFill="1" applyBorder="1" applyAlignment="1">
      <alignment horizontal="center" vertical="center"/>
    </xf>
    <xf numFmtId="0" fontId="11" fillId="3" borderId="1" xfId="0" applyFont="1" applyFill="1" applyBorder="1" applyAlignment="1">
      <alignment horizontal="center" vertical="center"/>
    </xf>
    <xf numFmtId="0" fontId="12" fillId="3" borderId="9" xfId="0" applyFont="1" applyFill="1" applyBorder="1" applyAlignment="1">
      <alignment horizontal="center"/>
    </xf>
    <xf numFmtId="0" fontId="12" fillId="3" borderId="8" xfId="0" applyFont="1" applyFill="1" applyBorder="1" applyAlignment="1">
      <alignment horizontal="center"/>
    </xf>
    <xf numFmtId="0" fontId="10" fillId="3" borderId="11" xfId="0" applyFont="1" applyFill="1" applyBorder="1" applyAlignment="1">
      <alignment horizontal="center" vertical="center"/>
    </xf>
    <xf numFmtId="0" fontId="11" fillId="0" borderId="10" xfId="0" applyFont="1" applyBorder="1" applyAlignment="1">
      <alignment horizontal="center" vertical="center"/>
    </xf>
    <xf numFmtId="0" fontId="47" fillId="12" borderId="8" xfId="0" applyFont="1" applyFill="1" applyBorder="1" applyAlignment="1">
      <alignment horizontal="center" vertical="center"/>
    </xf>
    <xf numFmtId="0" fontId="11" fillId="12" borderId="10" xfId="0" applyFont="1" applyFill="1" applyBorder="1" applyAlignment="1">
      <alignment horizontal="center" vertical="center"/>
    </xf>
    <xf numFmtId="0" fontId="11" fillId="0" borderId="9" xfId="0" applyFont="1" applyBorder="1" applyAlignment="1">
      <alignment horizontal="center" vertical="center"/>
    </xf>
    <xf numFmtId="0" fontId="11" fillId="12" borderId="9" xfId="0" applyFont="1" applyFill="1" applyBorder="1" applyAlignment="1">
      <alignment horizontal="center" vertical="center"/>
    </xf>
    <xf numFmtId="0" fontId="11" fillId="0" borderId="7" xfId="0" applyFont="1" applyBorder="1" applyAlignment="1">
      <alignment horizontal="center" vertical="center"/>
    </xf>
    <xf numFmtId="0" fontId="11" fillId="0" borderId="0" xfId="0" applyFont="1" applyAlignment="1">
      <alignment horizontal="center" vertical="center"/>
    </xf>
    <xf numFmtId="0" fontId="11" fillId="3" borderId="10" xfId="0" applyFont="1" applyFill="1" applyBorder="1" applyAlignment="1">
      <alignment horizontal="center" vertical="center"/>
    </xf>
    <xf numFmtId="0" fontId="11" fillId="12" borderId="7" xfId="0" applyFont="1" applyFill="1" applyBorder="1" applyAlignment="1">
      <alignment horizontal="center" vertical="center"/>
    </xf>
    <xf numFmtId="0" fontId="11" fillId="0" borderId="11" xfId="0" applyFont="1" applyBorder="1" applyAlignment="1">
      <alignment horizontal="center" vertical="center"/>
    </xf>
    <xf numFmtId="0" fontId="11" fillId="3" borderId="7" xfId="0" applyFont="1" applyFill="1" applyBorder="1" applyAlignment="1">
      <alignment horizontal="center" vertical="center"/>
    </xf>
    <xf numFmtId="1" fontId="11" fillId="12" borderId="2" xfId="0" applyNumberFormat="1" applyFont="1" applyFill="1" applyBorder="1" applyAlignment="1">
      <alignment horizontal="center" vertical="center"/>
    </xf>
    <xf numFmtId="0" fontId="41" fillId="3" borderId="3" xfId="0" applyFont="1" applyFill="1" applyBorder="1" applyAlignment="1">
      <alignment horizontal="center" vertical="center"/>
    </xf>
    <xf numFmtId="1" fontId="11" fillId="12" borderId="57" xfId="0" applyNumberFormat="1" applyFont="1" applyFill="1" applyBorder="1" applyAlignment="1">
      <alignment horizontal="center" vertical="center"/>
    </xf>
    <xf numFmtId="1" fontId="11" fillId="0" borderId="7" xfId="0" applyNumberFormat="1" applyFont="1" applyBorder="1" applyAlignment="1">
      <alignment horizontal="center" vertical="center"/>
    </xf>
    <xf numFmtId="1" fontId="11" fillId="0" borderId="10" xfId="0" applyNumberFormat="1" applyFont="1" applyBorder="1" applyAlignment="1">
      <alignment horizontal="center" vertical="center"/>
    </xf>
    <xf numFmtId="1" fontId="11" fillId="12" borderId="7" xfId="0" applyNumberFormat="1" applyFont="1" applyFill="1" applyBorder="1" applyAlignment="1">
      <alignment horizontal="center" vertical="center"/>
    </xf>
    <xf numFmtId="1" fontId="11" fillId="3" borderId="12" xfId="0" applyNumberFormat="1" applyFont="1" applyFill="1" applyBorder="1" applyAlignment="1">
      <alignment horizontal="center" vertical="center"/>
    </xf>
    <xf numFmtId="1" fontId="11" fillId="0" borderId="1" xfId="0" applyNumberFormat="1" applyFont="1" applyBorder="1" applyAlignment="1">
      <alignment horizontal="center" vertical="center"/>
    </xf>
    <xf numFmtId="1" fontId="11" fillId="0" borderId="2" xfId="0" applyNumberFormat="1" applyFont="1" applyBorder="1" applyAlignment="1">
      <alignment horizontal="center" vertical="center"/>
    </xf>
    <xf numFmtId="1" fontId="11" fillId="12" borderId="10" xfId="0" applyNumberFormat="1" applyFont="1" applyFill="1" applyBorder="1" applyAlignment="1">
      <alignment horizontal="center" vertical="center"/>
    </xf>
    <xf numFmtId="1" fontId="11" fillId="0" borderId="9" xfId="0" applyNumberFormat="1" applyFont="1" applyBorder="1" applyAlignment="1">
      <alignment horizontal="center" vertical="center"/>
    </xf>
    <xf numFmtId="0" fontId="11" fillId="3" borderId="12" xfId="0" applyFont="1" applyFill="1" applyBorder="1" applyAlignment="1">
      <alignment horizontal="center" vertical="center"/>
    </xf>
    <xf numFmtId="0" fontId="11" fillId="12" borderId="21" xfId="0" applyFont="1" applyFill="1" applyBorder="1" applyAlignment="1">
      <alignment horizontal="center" vertical="center"/>
    </xf>
    <xf numFmtId="0" fontId="11" fillId="3" borderId="9" xfId="0" applyFont="1" applyFill="1" applyBorder="1" applyAlignment="1">
      <alignment horizontal="center" vertical="center"/>
    </xf>
    <xf numFmtId="0" fontId="11" fillId="0" borderId="57" xfId="0" applyFont="1" applyBorder="1" applyAlignment="1">
      <alignment horizontal="center" vertical="center"/>
    </xf>
    <xf numFmtId="0" fontId="48" fillId="12" borderId="8" xfId="0" applyFont="1" applyFill="1" applyBorder="1" applyAlignment="1">
      <alignment horizontal="center" vertical="center"/>
    </xf>
    <xf numFmtId="0" fontId="11" fillId="0" borderId="21" xfId="0" applyFont="1" applyBorder="1" applyAlignment="1">
      <alignment horizontal="center" vertical="center"/>
    </xf>
    <xf numFmtId="0" fontId="2" fillId="4" borderId="2" xfId="0" applyFont="1" applyFill="1" applyBorder="1" applyAlignment="1">
      <alignment horizontal="center" vertical="center"/>
    </xf>
    <xf numFmtId="0" fontId="2" fillId="4" borderId="1" xfId="0" applyFont="1" applyFill="1" applyBorder="1" applyAlignment="1">
      <alignment horizontal="center" vertical="center"/>
    </xf>
    <xf numFmtId="0" fontId="34" fillId="4" borderId="4" xfId="0" applyFont="1" applyFill="1" applyBorder="1" applyAlignment="1">
      <alignment horizontal="center" vertical="center"/>
    </xf>
    <xf numFmtId="0" fontId="10" fillId="4" borderId="57" xfId="0" applyFont="1" applyFill="1" applyBorder="1" applyAlignment="1">
      <alignment horizontal="center" vertical="center"/>
    </xf>
    <xf numFmtId="0" fontId="10" fillId="4" borderId="7" xfId="0" applyFont="1" applyFill="1" applyBorder="1" applyAlignment="1">
      <alignment horizontal="center" vertical="center"/>
    </xf>
    <xf numFmtId="0" fontId="2" fillId="4" borderId="21" xfId="0" applyFont="1" applyFill="1" applyBorder="1" applyAlignment="1">
      <alignment horizontal="center" vertical="center"/>
    </xf>
    <xf numFmtId="0" fontId="34" fillId="4" borderId="22" xfId="0" applyFont="1" applyFill="1" applyBorder="1" applyAlignment="1">
      <alignment horizontal="center" vertical="center"/>
    </xf>
    <xf numFmtId="164" fontId="2" fillId="4" borderId="2" xfId="0" applyNumberFormat="1" applyFont="1" applyFill="1" applyBorder="1" applyAlignment="1">
      <alignment horizontal="center" vertical="center"/>
    </xf>
    <xf numFmtId="0" fontId="2" fillId="4" borderId="0" xfId="0" applyFont="1" applyFill="1" applyAlignment="1">
      <alignment horizontal="center" vertical="center"/>
    </xf>
    <xf numFmtId="0" fontId="15" fillId="9" borderId="47" xfId="0" applyFont="1" applyFill="1" applyBorder="1" applyAlignment="1">
      <alignment horizontal="center" vertical="center"/>
    </xf>
    <xf numFmtId="0" fontId="15" fillId="9" borderId="47" xfId="0" applyFont="1" applyFill="1" applyBorder="1" applyAlignment="1">
      <alignment horizontal="center"/>
    </xf>
    <xf numFmtId="0" fontId="44" fillId="4" borderId="8" xfId="0" applyFont="1" applyFill="1" applyBorder="1" applyAlignment="1">
      <alignment horizontal="center" vertical="center"/>
    </xf>
    <xf numFmtId="0" fontId="44" fillId="4" borderId="10" xfId="0" applyFont="1" applyFill="1" applyBorder="1" applyAlignment="1">
      <alignment horizontal="center" vertical="center"/>
    </xf>
    <xf numFmtId="0" fontId="44" fillId="4" borderId="2" xfId="0" applyFont="1" applyFill="1" applyBorder="1" applyAlignment="1">
      <alignment horizontal="center" vertical="center"/>
    </xf>
    <xf numFmtId="0" fontId="12" fillId="0" borderId="66" xfId="0" applyFont="1" applyBorder="1" applyAlignment="1">
      <alignment horizontal="center" vertical="center"/>
    </xf>
    <xf numFmtId="0" fontId="49" fillId="12" borderId="6" xfId="0" applyFont="1" applyFill="1" applyBorder="1" applyAlignment="1">
      <alignment horizontal="center" vertical="center"/>
    </xf>
    <xf numFmtId="0" fontId="1" fillId="0" borderId="10" xfId="0" applyFont="1" applyBorder="1" applyAlignment="1">
      <alignment horizontal="center" vertical="center"/>
    </xf>
    <xf numFmtId="0" fontId="0" fillId="0" borderId="1" xfId="0" applyBorder="1"/>
    <xf numFmtId="0" fontId="0" fillId="0" borderId="3" xfId="0" applyBorder="1"/>
    <xf numFmtId="0" fontId="2" fillId="4" borderId="11" xfId="0" applyFont="1" applyFill="1" applyBorder="1" applyAlignment="1">
      <alignment horizontal="center" vertical="center"/>
    </xf>
    <xf numFmtId="0" fontId="34" fillId="4" borderId="3" xfId="0" applyFont="1" applyFill="1" applyBorder="1" applyAlignment="1">
      <alignment horizontal="center" vertical="center"/>
    </xf>
    <xf numFmtId="0" fontId="34" fillId="4" borderId="5" xfId="0" applyFont="1" applyFill="1" applyBorder="1" applyAlignment="1">
      <alignment horizontal="center" vertical="center"/>
    </xf>
    <xf numFmtId="0" fontId="44" fillId="4" borderId="1" xfId="0" applyFont="1" applyFill="1" applyBorder="1" applyAlignment="1">
      <alignment horizontal="center" vertical="center"/>
    </xf>
    <xf numFmtId="164" fontId="12" fillId="12" borderId="37" xfId="0" applyNumberFormat="1" applyFont="1" applyFill="1" applyBorder="1" applyAlignment="1">
      <alignment horizontal="center" vertical="center"/>
    </xf>
    <xf numFmtId="0" fontId="12" fillId="12" borderId="35" xfId="0" applyFont="1" applyFill="1" applyBorder="1" applyAlignment="1">
      <alignment horizontal="center" vertical="center"/>
    </xf>
    <xf numFmtId="0" fontId="10" fillId="0" borderId="37" xfId="0" applyFont="1" applyBorder="1" applyAlignment="1">
      <alignment horizontal="center" vertical="center"/>
    </xf>
    <xf numFmtId="0" fontId="10" fillId="0" borderId="32" xfId="0" applyFont="1" applyBorder="1" applyAlignment="1">
      <alignment horizontal="center" vertical="center"/>
    </xf>
    <xf numFmtId="0" fontId="10" fillId="0" borderId="35" xfId="0" applyFont="1" applyBorder="1" applyAlignment="1">
      <alignment horizontal="center" vertical="center"/>
    </xf>
    <xf numFmtId="0" fontId="10" fillId="12" borderId="37" xfId="0" applyFont="1" applyFill="1" applyBorder="1" applyAlignment="1">
      <alignment horizontal="center" vertical="center"/>
    </xf>
    <xf numFmtId="164" fontId="12" fillId="12" borderId="32" xfId="0" applyNumberFormat="1" applyFont="1" applyFill="1" applyBorder="1" applyAlignment="1">
      <alignment horizontal="center" vertical="center"/>
    </xf>
    <xf numFmtId="0" fontId="10" fillId="12" borderId="35" xfId="0" applyFont="1" applyFill="1" applyBorder="1" applyAlignment="1">
      <alignment horizontal="center" vertical="center"/>
    </xf>
    <xf numFmtId="164" fontId="10" fillId="12" borderId="37" xfId="0" applyNumberFormat="1" applyFont="1" applyFill="1" applyBorder="1" applyAlignment="1">
      <alignment horizontal="center" vertical="center"/>
    </xf>
    <xf numFmtId="0" fontId="10" fillId="12" borderId="32" xfId="0" applyFont="1" applyFill="1" applyBorder="1" applyAlignment="1">
      <alignment horizontal="center" vertical="center"/>
    </xf>
    <xf numFmtId="164" fontId="10" fillId="0" borderId="32" xfId="0" applyNumberFormat="1" applyFont="1" applyBorder="1" applyAlignment="1">
      <alignment horizontal="center" vertical="center"/>
    </xf>
    <xf numFmtId="164" fontId="12" fillId="12" borderId="14" xfId="0" applyNumberFormat="1" applyFont="1" applyFill="1" applyBorder="1" applyAlignment="1">
      <alignment horizontal="center" vertical="center"/>
    </xf>
    <xf numFmtId="0" fontId="12" fillId="12" borderId="18" xfId="0" applyFont="1" applyFill="1" applyBorder="1" applyAlignment="1">
      <alignment horizontal="center" vertical="center"/>
    </xf>
    <xf numFmtId="0" fontId="10" fillId="0" borderId="14" xfId="0" applyFont="1" applyBorder="1" applyAlignment="1">
      <alignment horizontal="center" vertical="center"/>
    </xf>
    <xf numFmtId="0" fontId="10" fillId="0" borderId="16" xfId="0" applyFont="1" applyBorder="1" applyAlignment="1">
      <alignment horizontal="center" vertical="center"/>
    </xf>
    <xf numFmtId="0" fontId="10" fillId="0" borderId="18" xfId="0" applyFont="1" applyBorder="1" applyAlignment="1">
      <alignment horizontal="center" vertical="center"/>
    </xf>
    <xf numFmtId="0" fontId="10" fillId="12" borderId="14" xfId="0" applyFont="1" applyFill="1" applyBorder="1" applyAlignment="1">
      <alignment horizontal="center" vertical="center"/>
    </xf>
    <xf numFmtId="164" fontId="12" fillId="12" borderId="16" xfId="0" applyNumberFormat="1" applyFont="1" applyFill="1" applyBorder="1" applyAlignment="1">
      <alignment horizontal="center" vertical="center"/>
    </xf>
    <xf numFmtId="0" fontId="10" fillId="12" borderId="18" xfId="0" applyFont="1" applyFill="1" applyBorder="1" applyAlignment="1">
      <alignment horizontal="center" vertical="center"/>
    </xf>
    <xf numFmtId="164" fontId="10" fillId="12" borderId="14" xfId="0" applyNumberFormat="1" applyFont="1" applyFill="1" applyBorder="1" applyAlignment="1">
      <alignment horizontal="center" vertical="center"/>
    </xf>
    <xf numFmtId="0" fontId="10" fillId="12" borderId="16" xfId="0" applyFont="1" applyFill="1" applyBorder="1" applyAlignment="1">
      <alignment horizontal="center" vertical="center"/>
    </xf>
    <xf numFmtId="164" fontId="10" fillId="0" borderId="16" xfId="0" applyNumberFormat="1" applyFont="1" applyBorder="1" applyAlignment="1">
      <alignment horizontal="center" vertical="center"/>
    </xf>
    <xf numFmtId="164" fontId="10" fillId="0" borderId="34" xfId="0" applyNumberFormat="1" applyFont="1" applyBorder="1" applyAlignment="1">
      <alignment horizontal="center" vertical="center"/>
    </xf>
    <xf numFmtId="1" fontId="10" fillId="19" borderId="34" xfId="0" applyNumberFormat="1" applyFont="1" applyFill="1" applyBorder="1" applyAlignment="1">
      <alignment horizontal="center" vertical="center"/>
    </xf>
    <xf numFmtId="164" fontId="8" fillId="0" borderId="37" xfId="0" applyNumberFormat="1" applyFont="1" applyBorder="1" applyAlignment="1">
      <alignment horizontal="center" vertical="center"/>
    </xf>
    <xf numFmtId="164" fontId="22" fillId="0" borderId="67" xfId="0" applyNumberFormat="1" applyFont="1" applyBorder="1" applyAlignment="1">
      <alignment horizontal="center" vertical="center"/>
    </xf>
    <xf numFmtId="0" fontId="50" fillId="0" borderId="0" xfId="0" applyFont="1" applyProtection="1">
      <protection locked="0"/>
    </xf>
    <xf numFmtId="0" fontId="50" fillId="0" borderId="0" xfId="0" applyFont="1"/>
    <xf numFmtId="0" fontId="52" fillId="0" borderId="37" xfId="0" applyFont="1" applyBorder="1" applyAlignment="1" applyProtection="1">
      <alignment horizontal="center"/>
      <protection locked="0"/>
    </xf>
    <xf numFmtId="0" fontId="52" fillId="0" borderId="14" xfId="0" applyFont="1" applyBorder="1" applyAlignment="1" applyProtection="1">
      <alignment horizontal="center"/>
      <protection locked="0"/>
    </xf>
    <xf numFmtId="0" fontId="54" fillId="12" borderId="30" xfId="0" applyFont="1" applyFill="1" applyBorder="1" applyProtection="1">
      <protection locked="0"/>
    </xf>
    <xf numFmtId="0" fontId="52" fillId="0" borderId="63" xfId="0" applyFont="1" applyBorder="1" applyAlignment="1" applyProtection="1">
      <alignment horizontal="center"/>
      <protection locked="0"/>
    </xf>
    <xf numFmtId="0" fontId="52" fillId="17" borderId="30" xfId="0" applyFont="1" applyFill="1" applyBorder="1" applyAlignment="1">
      <alignment horizontal="center"/>
    </xf>
    <xf numFmtId="0" fontId="52" fillId="0" borderId="30" xfId="0" applyFont="1" applyBorder="1" applyAlignment="1">
      <alignment horizontal="center"/>
    </xf>
    <xf numFmtId="0" fontId="53" fillId="0" borderId="30" xfId="0" applyFont="1" applyBorder="1" applyAlignment="1">
      <alignment horizontal="center"/>
    </xf>
    <xf numFmtId="0" fontId="53" fillId="17" borderId="30" xfId="0" applyFont="1" applyFill="1" applyBorder="1" applyAlignment="1">
      <alignment horizontal="center"/>
    </xf>
    <xf numFmtId="0" fontId="54" fillId="12" borderId="31" xfId="0" applyFont="1" applyFill="1" applyBorder="1"/>
    <xf numFmtId="0" fontId="52" fillId="0" borderId="36" xfId="0" applyFont="1" applyBorder="1" applyAlignment="1" applyProtection="1">
      <alignment horizontal="center"/>
      <protection locked="0"/>
    </xf>
    <xf numFmtId="0" fontId="52" fillId="17" borderId="31" xfId="0" applyFont="1" applyFill="1" applyBorder="1" applyAlignment="1">
      <alignment horizontal="center"/>
    </xf>
    <xf numFmtId="0" fontId="53" fillId="0" borderId="31" xfId="0" applyFont="1" applyBorder="1" applyAlignment="1">
      <alignment horizontal="center"/>
    </xf>
    <xf numFmtId="0" fontId="53" fillId="17" borderId="31" xfId="0" applyFont="1" applyFill="1" applyBorder="1" applyAlignment="1">
      <alignment horizontal="center"/>
    </xf>
    <xf numFmtId="0" fontId="54" fillId="12" borderId="31" xfId="0" applyFont="1" applyFill="1" applyBorder="1" applyProtection="1">
      <protection locked="0"/>
    </xf>
    <xf numFmtId="0" fontId="53" fillId="0" borderId="36" xfId="0" applyFont="1" applyBorder="1" applyAlignment="1" applyProtection="1">
      <alignment horizontal="center"/>
      <protection locked="0"/>
    </xf>
    <xf numFmtId="0" fontId="55" fillId="12" borderId="31" xfId="0" applyFont="1" applyFill="1" applyBorder="1" applyProtection="1">
      <protection locked="0"/>
    </xf>
    <xf numFmtId="0" fontId="54" fillId="12" borderId="31" xfId="0" applyFont="1" applyFill="1" applyBorder="1" applyAlignment="1" applyProtection="1">
      <alignment horizontal="left" vertical="center"/>
      <protection locked="0"/>
    </xf>
    <xf numFmtId="1" fontId="53" fillId="0" borderId="31" xfId="0" applyNumberFormat="1" applyFont="1" applyBorder="1" applyAlignment="1">
      <alignment horizontal="center"/>
    </xf>
    <xf numFmtId="0" fontId="53" fillId="17" borderId="31" xfId="0" applyFont="1" applyFill="1" applyBorder="1" applyAlignment="1" applyProtection="1">
      <alignment horizontal="center"/>
      <protection locked="0"/>
    </xf>
    <xf numFmtId="0" fontId="53" fillId="0" borderId="31" xfId="0" applyFont="1" applyBorder="1" applyAlignment="1" applyProtection="1">
      <alignment horizontal="center"/>
      <protection locked="0"/>
    </xf>
    <xf numFmtId="0" fontId="54" fillId="12" borderId="62" xfId="0" applyFont="1" applyFill="1" applyBorder="1"/>
    <xf numFmtId="0" fontId="53" fillId="0" borderId="0" xfId="0" applyFont="1" applyAlignment="1" applyProtection="1">
      <alignment horizontal="center"/>
      <protection locked="0"/>
    </xf>
    <xf numFmtId="0" fontId="53" fillId="17" borderId="32" xfId="0" applyFont="1" applyFill="1" applyBorder="1" applyAlignment="1" applyProtection="1">
      <alignment horizontal="center"/>
      <protection locked="0"/>
    </xf>
    <xf numFmtId="0" fontId="53" fillId="0" borderId="32" xfId="0" applyFont="1" applyBorder="1" applyAlignment="1" applyProtection="1">
      <alignment horizontal="center"/>
      <protection locked="0"/>
    </xf>
    <xf numFmtId="0" fontId="50" fillId="0" borderId="9" xfId="0" applyFont="1" applyBorder="1"/>
    <xf numFmtId="0" fontId="50" fillId="20" borderId="0" xfId="0" applyFont="1" applyFill="1"/>
    <xf numFmtId="0" fontId="3" fillId="0" borderId="0" xfId="0" applyFont="1" applyAlignment="1">
      <alignment horizontal="left" vertical="center"/>
    </xf>
    <xf numFmtId="0" fontId="5" fillId="0" borderId="0" xfId="0" applyFont="1" applyAlignment="1">
      <alignment horizontal="left" vertical="center"/>
    </xf>
    <xf numFmtId="0" fontId="53" fillId="0" borderId="0" xfId="0" applyFont="1" applyAlignment="1">
      <alignment horizontal="center"/>
    </xf>
    <xf numFmtId="0" fontId="56" fillId="0" borderId="0" xfId="0" applyFont="1" applyAlignment="1">
      <alignment horizontal="center" vertical="center" wrapText="1"/>
    </xf>
    <xf numFmtId="0" fontId="36" fillId="20" borderId="32" xfId="0" applyFont="1" applyFill="1" applyBorder="1"/>
    <xf numFmtId="0" fontId="0" fillId="20" borderId="32" xfId="0" applyFill="1" applyBorder="1"/>
    <xf numFmtId="0" fontId="53" fillId="17" borderId="37" xfId="0" applyFont="1" applyFill="1" applyBorder="1" applyAlignment="1">
      <alignment horizontal="center"/>
    </xf>
    <xf numFmtId="0" fontId="53" fillId="17" borderId="69" xfId="0" applyFont="1" applyFill="1" applyBorder="1" applyAlignment="1">
      <alignment horizontal="center"/>
    </xf>
    <xf numFmtId="0" fontId="53" fillId="17" borderId="70" xfId="0" applyFont="1" applyFill="1" applyBorder="1" applyAlignment="1">
      <alignment horizontal="center"/>
    </xf>
    <xf numFmtId="1" fontId="31" fillId="0" borderId="31" xfId="0" applyNumberFormat="1" applyFont="1" applyBorder="1" applyAlignment="1">
      <alignment horizontal="center"/>
    </xf>
    <xf numFmtId="0" fontId="53" fillId="24" borderId="30" xfId="0" applyFont="1" applyFill="1" applyBorder="1" applyAlignment="1">
      <alignment horizontal="center"/>
    </xf>
    <xf numFmtId="0" fontId="53" fillId="24" borderId="31" xfId="0" applyFont="1" applyFill="1" applyBorder="1" applyAlignment="1">
      <alignment horizontal="center"/>
    </xf>
    <xf numFmtId="0" fontId="53" fillId="24" borderId="62" xfId="0" applyFont="1" applyFill="1" applyBorder="1" applyAlignment="1">
      <alignment horizontal="center"/>
    </xf>
    <xf numFmtId="0" fontId="53" fillId="14" borderId="30" xfId="0" applyFont="1" applyFill="1" applyBorder="1" applyAlignment="1">
      <alignment horizontal="center"/>
    </xf>
    <xf numFmtId="0" fontId="53" fillId="14" borderId="31" xfId="0" applyFont="1" applyFill="1" applyBorder="1" applyAlignment="1">
      <alignment horizontal="center"/>
    </xf>
    <xf numFmtId="0" fontId="53" fillId="14" borderId="62" xfId="0" applyFont="1" applyFill="1" applyBorder="1" applyAlignment="1">
      <alignment horizontal="center"/>
    </xf>
    <xf numFmtId="1" fontId="31" fillId="17" borderId="31" xfId="0" applyNumberFormat="1" applyFont="1" applyFill="1" applyBorder="1" applyAlignment="1">
      <alignment horizontal="center"/>
    </xf>
    <xf numFmtId="0" fontId="10" fillId="0" borderId="52" xfId="0" applyFont="1" applyBorder="1" applyAlignment="1">
      <alignment horizontal="center" vertical="center"/>
    </xf>
    <xf numFmtId="164" fontId="10" fillId="0" borderId="45" xfId="0" applyNumberFormat="1" applyFont="1" applyBorder="1" applyAlignment="1">
      <alignment horizontal="center" vertical="center"/>
    </xf>
    <xf numFmtId="0" fontId="50" fillId="0" borderId="45" xfId="0" applyFont="1" applyBorder="1" applyAlignment="1">
      <alignment horizontal="center" vertical="center"/>
    </xf>
    <xf numFmtId="0" fontId="0" fillId="0" borderId="45" xfId="0" applyBorder="1"/>
    <xf numFmtId="0" fontId="10" fillId="0" borderId="13" xfId="0" applyFont="1" applyBorder="1" applyAlignment="1">
      <alignment horizontal="center" vertical="center"/>
    </xf>
    <xf numFmtId="164" fontId="10" fillId="0" borderId="15" xfId="0" applyNumberFormat="1" applyFont="1" applyBorder="1" applyAlignment="1">
      <alignment horizontal="center" vertical="center"/>
    </xf>
    <xf numFmtId="0" fontId="50" fillId="0" borderId="15" xfId="0" applyFont="1" applyBorder="1" applyAlignment="1">
      <alignment horizontal="center" vertical="center"/>
    </xf>
    <xf numFmtId="1" fontId="10" fillId="0" borderId="34" xfId="0" applyNumberFormat="1" applyFont="1" applyBorder="1" applyAlignment="1">
      <alignment horizontal="center" vertical="center"/>
    </xf>
    <xf numFmtId="164" fontId="2" fillId="19" borderId="37" xfId="0" applyNumberFormat="1" applyFont="1" applyFill="1" applyBorder="1" applyAlignment="1">
      <alignment horizontal="center" vertical="center"/>
    </xf>
    <xf numFmtId="1" fontId="10" fillId="2" borderId="34" xfId="0" applyNumberFormat="1" applyFont="1" applyFill="1" applyBorder="1" applyAlignment="1">
      <alignment horizontal="center" vertical="center"/>
    </xf>
    <xf numFmtId="0" fontId="12" fillId="19" borderId="68" xfId="0" applyFont="1" applyFill="1" applyBorder="1" applyAlignment="1">
      <alignment horizontal="center" vertical="center"/>
    </xf>
    <xf numFmtId="0" fontId="10" fillId="4" borderId="34" xfId="0" applyFont="1" applyFill="1" applyBorder="1" applyAlignment="1">
      <alignment horizontal="center"/>
    </xf>
    <xf numFmtId="0" fontId="10" fillId="0" borderId="34" xfId="0" applyFont="1" applyBorder="1" applyAlignment="1">
      <alignment horizontal="center" vertical="center"/>
    </xf>
    <xf numFmtId="0" fontId="10" fillId="19" borderId="34" xfId="0" applyFont="1" applyFill="1" applyBorder="1" applyAlignment="1">
      <alignment horizontal="center" vertical="center"/>
    </xf>
    <xf numFmtId="0" fontId="8" fillId="0" borderId="37" xfId="0" applyFont="1" applyBorder="1" applyAlignment="1">
      <alignment horizontal="center" vertical="center"/>
    </xf>
    <xf numFmtId="0" fontId="10" fillId="0" borderId="34" xfId="0" applyFont="1" applyBorder="1" applyAlignment="1">
      <alignment horizontal="center"/>
    </xf>
    <xf numFmtId="0" fontId="10" fillId="19" borderId="34" xfId="0" applyFont="1" applyFill="1" applyBorder="1" applyAlignment="1">
      <alignment horizontal="center"/>
    </xf>
    <xf numFmtId="0" fontId="10" fillId="12" borderId="71" xfId="0" applyFont="1" applyFill="1" applyBorder="1" applyAlignment="1">
      <alignment horizontal="center" vertical="center"/>
    </xf>
    <xf numFmtId="0" fontId="10" fillId="0" borderId="71" xfId="0" applyFont="1" applyBorder="1" applyAlignment="1">
      <alignment horizontal="center" vertical="center"/>
    </xf>
    <xf numFmtId="0" fontId="11" fillId="12" borderId="71" xfId="0" applyFont="1" applyFill="1" applyBorder="1" applyAlignment="1">
      <alignment horizontal="center" vertical="center"/>
    </xf>
    <xf numFmtId="0" fontId="11" fillId="0" borderId="71" xfId="0" applyFont="1" applyBorder="1" applyAlignment="1">
      <alignment horizontal="center" vertical="center"/>
    </xf>
    <xf numFmtId="0" fontId="11" fillId="3" borderId="71" xfId="0" applyFont="1" applyFill="1" applyBorder="1" applyAlignment="1">
      <alignment horizontal="center" vertical="center"/>
    </xf>
    <xf numFmtId="164" fontId="12" fillId="21" borderId="37" xfId="0" applyNumberFormat="1" applyFont="1" applyFill="1" applyBorder="1" applyAlignment="1">
      <alignment horizontal="center" vertical="center"/>
    </xf>
    <xf numFmtId="0" fontId="12" fillId="21" borderId="35" xfId="0" applyFont="1" applyFill="1" applyBorder="1" applyAlignment="1">
      <alignment horizontal="center" vertical="center"/>
    </xf>
    <xf numFmtId="0" fontId="10" fillId="21" borderId="32" xfId="0" applyFont="1" applyFill="1" applyBorder="1" applyAlignment="1">
      <alignment horizontal="center" vertical="center"/>
    </xf>
    <xf numFmtId="164" fontId="12" fillId="21" borderId="32" xfId="0" applyNumberFormat="1" applyFont="1" applyFill="1" applyBorder="1" applyAlignment="1">
      <alignment horizontal="center" vertical="center"/>
    </xf>
    <xf numFmtId="0" fontId="10" fillId="21" borderId="35" xfId="0" applyFont="1" applyFill="1" applyBorder="1" applyAlignment="1">
      <alignment horizontal="center" vertical="center"/>
    </xf>
    <xf numFmtId="164" fontId="10" fillId="21" borderId="32" xfId="0" applyNumberFormat="1" applyFont="1" applyFill="1" applyBorder="1" applyAlignment="1">
      <alignment horizontal="center" vertical="center"/>
    </xf>
    <xf numFmtId="0" fontId="10" fillId="21" borderId="37" xfId="0" applyFont="1" applyFill="1" applyBorder="1" applyAlignment="1">
      <alignment horizontal="center" vertical="center"/>
    </xf>
    <xf numFmtId="164" fontId="12" fillId="23" borderId="32" xfId="0" applyNumberFormat="1" applyFont="1" applyFill="1" applyBorder="1" applyAlignment="1">
      <alignment horizontal="center" vertical="center"/>
    </xf>
    <xf numFmtId="0" fontId="53" fillId="0" borderId="37" xfId="0" applyFont="1" applyBorder="1" applyAlignment="1" applyProtection="1">
      <alignment horizontal="center"/>
      <protection locked="0"/>
    </xf>
    <xf numFmtId="0" fontId="29" fillId="24" borderId="31" xfId="0" applyFont="1" applyFill="1" applyBorder="1" applyAlignment="1">
      <alignment horizontal="center"/>
    </xf>
    <xf numFmtId="0" fontId="59" fillId="0" borderId="0" xfId="0" applyFont="1"/>
    <xf numFmtId="0" fontId="57" fillId="0" borderId="0" xfId="0" applyFont="1" applyAlignment="1">
      <alignment horizontal="center" vertical="center"/>
    </xf>
    <xf numFmtId="0" fontId="36" fillId="0" borderId="0" xfId="0" applyFont="1" applyAlignment="1">
      <alignment horizontal="center" vertical="center"/>
    </xf>
    <xf numFmtId="0" fontId="58" fillId="0" borderId="0" xfId="0" applyFont="1" applyAlignment="1">
      <alignment horizontal="center" vertical="center"/>
    </xf>
    <xf numFmtId="0" fontId="28" fillId="0" borderId="0" xfId="0" applyFont="1" applyAlignment="1" applyProtection="1">
      <alignment horizontal="center"/>
      <protection locked="0"/>
    </xf>
    <xf numFmtId="0" fontId="30" fillId="0" borderId="0" xfId="0" applyFont="1" applyProtection="1">
      <protection locked="0"/>
    </xf>
    <xf numFmtId="0" fontId="31" fillId="0" borderId="0" xfId="0" applyFont="1" applyAlignment="1">
      <alignment horizontal="center"/>
    </xf>
    <xf numFmtId="0" fontId="32" fillId="0" borderId="0" xfId="0" applyFont="1" applyProtection="1">
      <protection locked="0"/>
    </xf>
    <xf numFmtId="1" fontId="29" fillId="0" borderId="0" xfId="0" applyNumberFormat="1" applyFont="1" applyAlignment="1">
      <alignment horizontal="center"/>
    </xf>
    <xf numFmtId="1" fontId="31" fillId="0" borderId="0" xfId="0" applyNumberFormat="1" applyFont="1" applyAlignment="1">
      <alignment horizontal="center"/>
    </xf>
    <xf numFmtId="0" fontId="11" fillId="4" borderId="8" xfId="0" applyFont="1" applyFill="1" applyBorder="1" applyAlignment="1">
      <alignment horizontal="center" vertical="center"/>
    </xf>
    <xf numFmtId="1" fontId="2" fillId="4" borderId="2" xfId="0" applyNumberFormat="1" applyFont="1" applyFill="1" applyBorder="1" applyAlignment="1">
      <alignment horizontal="center" vertical="center"/>
    </xf>
    <xf numFmtId="0" fontId="41" fillId="4" borderId="4" xfId="0" applyFont="1" applyFill="1" applyBorder="1" applyAlignment="1">
      <alignment horizontal="center" vertical="center"/>
    </xf>
    <xf numFmtId="0" fontId="41" fillId="4" borderId="6" xfId="0" applyFont="1" applyFill="1" applyBorder="1" applyAlignment="1">
      <alignment horizontal="center" vertical="center"/>
    </xf>
    <xf numFmtId="0" fontId="41" fillId="4" borderId="5" xfId="0" applyFont="1" applyFill="1" applyBorder="1" applyAlignment="1">
      <alignment horizontal="center" vertical="center"/>
    </xf>
    <xf numFmtId="0" fontId="16" fillId="13" borderId="24" xfId="0" applyFont="1" applyFill="1" applyBorder="1" applyAlignment="1">
      <alignment horizontal="center" vertical="center"/>
    </xf>
    <xf numFmtId="0" fontId="16" fillId="13" borderId="25" xfId="0" applyFont="1" applyFill="1" applyBorder="1" applyAlignment="1">
      <alignment horizontal="center" vertical="center"/>
    </xf>
    <xf numFmtId="0" fontId="16" fillId="13" borderId="26" xfId="0" applyFont="1" applyFill="1" applyBorder="1" applyAlignment="1">
      <alignment horizontal="center" vertical="center"/>
    </xf>
    <xf numFmtId="0" fontId="11" fillId="4" borderId="7" xfId="0" applyFont="1" applyFill="1" applyBorder="1" applyAlignment="1">
      <alignment horizontal="center" vertical="center"/>
    </xf>
    <xf numFmtId="0" fontId="11" fillId="4" borderId="2" xfId="0" applyFont="1" applyFill="1" applyBorder="1" applyAlignment="1">
      <alignment horizontal="center" vertical="center"/>
    </xf>
    <xf numFmtId="0" fontId="41" fillId="4" borderId="22" xfId="0" applyFont="1" applyFill="1" applyBorder="1" applyAlignment="1">
      <alignment horizontal="center" vertical="center"/>
    </xf>
    <xf numFmtId="0" fontId="41" fillId="4" borderId="3" xfId="0" applyFont="1" applyFill="1" applyBorder="1" applyAlignment="1">
      <alignment horizontal="center" vertical="center"/>
    </xf>
    <xf numFmtId="0" fontId="16" fillId="13" borderId="38" xfId="0" applyFont="1" applyFill="1" applyBorder="1" applyAlignment="1">
      <alignment horizontal="center" vertical="center"/>
    </xf>
    <xf numFmtId="0" fontId="44" fillId="4" borderId="57" xfId="0" applyFont="1" applyFill="1" applyBorder="1" applyAlignment="1">
      <alignment horizontal="center" vertical="center"/>
    </xf>
    <xf numFmtId="0" fontId="44" fillId="4" borderId="7" xfId="0" applyFont="1" applyFill="1" applyBorder="1" applyAlignment="1">
      <alignment horizontal="center" vertical="center"/>
    </xf>
    <xf numFmtId="0" fontId="44" fillId="4" borderId="9"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8" xfId="0" applyFont="1" applyFill="1" applyBorder="1" applyAlignment="1">
      <alignment horizontal="center" vertical="center"/>
    </xf>
    <xf numFmtId="0" fontId="34" fillId="0" borderId="65" xfId="0" applyFont="1" applyBorder="1" applyAlignment="1">
      <alignment horizontal="center" vertical="center"/>
    </xf>
    <xf numFmtId="0" fontId="34" fillId="0" borderId="18" xfId="0" applyFont="1" applyBorder="1" applyAlignment="1">
      <alignment horizontal="center" vertical="center"/>
    </xf>
    <xf numFmtId="0" fontId="44" fillId="7" borderId="2" xfId="0" applyFont="1" applyFill="1" applyBorder="1" applyAlignment="1">
      <alignment horizontal="center" vertical="center"/>
    </xf>
    <xf numFmtId="0" fontId="2" fillId="7" borderId="2" xfId="0" applyFont="1" applyFill="1" applyBorder="1" applyAlignment="1">
      <alignment horizontal="center" vertical="center"/>
    </xf>
    <xf numFmtId="0" fontId="34" fillId="7" borderId="4" xfId="0" applyFont="1" applyFill="1" applyBorder="1" applyAlignment="1">
      <alignment horizontal="center" vertical="center"/>
    </xf>
    <xf numFmtId="0" fontId="44" fillId="7" borderId="0" xfId="0" applyFont="1" applyFill="1" applyAlignment="1">
      <alignment horizontal="center" vertical="center"/>
    </xf>
    <xf numFmtId="0" fontId="34" fillId="7" borderId="5" xfId="0" applyFont="1" applyFill="1" applyBorder="1" applyAlignment="1">
      <alignment horizontal="center" vertical="center"/>
    </xf>
    <xf numFmtId="0" fontId="44" fillId="0" borderId="11" xfId="0" applyFont="1" applyBorder="1" applyAlignment="1">
      <alignment horizontal="center" vertical="center"/>
    </xf>
    <xf numFmtId="0" fontId="34" fillId="4" borderId="18" xfId="0" applyFont="1" applyFill="1" applyBorder="1" applyAlignment="1">
      <alignment horizontal="center" vertical="center"/>
    </xf>
    <xf numFmtId="0" fontId="10" fillId="0" borderId="2" xfId="0" applyFont="1" applyBorder="1" applyAlignment="1">
      <alignment horizontal="center"/>
    </xf>
    <xf numFmtId="0" fontId="41" fillId="0" borderId="4" xfId="0" applyFont="1" applyBorder="1" applyAlignment="1">
      <alignment horizontal="center"/>
    </xf>
    <xf numFmtId="0" fontId="10" fillId="4" borderId="20" xfId="0" applyFont="1" applyFill="1" applyBorder="1" applyAlignment="1">
      <alignment horizontal="center" vertical="center"/>
    </xf>
    <xf numFmtId="0" fontId="10" fillId="4" borderId="8" xfId="0" applyFont="1" applyFill="1" applyBorder="1" applyAlignment="1">
      <alignment horizontal="center" vertical="center"/>
    </xf>
    <xf numFmtId="0" fontId="10" fillId="4" borderId="21" xfId="0" applyFont="1" applyFill="1" applyBorder="1" applyAlignment="1">
      <alignment horizontal="center" vertical="center"/>
    </xf>
    <xf numFmtId="0" fontId="10" fillId="4" borderId="2" xfId="0" applyFont="1" applyFill="1" applyBorder="1" applyAlignment="1">
      <alignment horizontal="center" vertical="center"/>
    </xf>
    <xf numFmtId="0" fontId="17" fillId="13" borderId="24" xfId="0" applyFont="1" applyFill="1" applyBorder="1" applyAlignment="1">
      <alignment horizontal="center"/>
    </xf>
    <xf numFmtId="0" fontId="2" fillId="4" borderId="9" xfId="0" applyFont="1" applyFill="1" applyBorder="1" applyAlignment="1">
      <alignment horizontal="center" vertical="center"/>
    </xf>
    <xf numFmtId="0" fontId="2" fillId="4" borderId="14" xfId="0" applyFont="1" applyFill="1" applyBorder="1" applyAlignment="1">
      <alignment horizontal="center" vertical="center"/>
    </xf>
    <xf numFmtId="0" fontId="10" fillId="6" borderId="8" xfId="0" applyFont="1" applyFill="1" applyBorder="1" applyAlignment="1">
      <alignment horizontal="center" vertical="center"/>
    </xf>
    <xf numFmtId="0" fontId="11" fillId="6" borderId="8" xfId="0" applyFont="1" applyFill="1" applyBorder="1" applyAlignment="1">
      <alignment horizontal="center" vertical="center"/>
    </xf>
    <xf numFmtId="0" fontId="10" fillId="6" borderId="12" xfId="0" applyFont="1" applyFill="1" applyBorder="1" applyAlignment="1">
      <alignment horizontal="center" vertical="center"/>
    </xf>
    <xf numFmtId="0" fontId="2" fillId="6" borderId="8" xfId="0" applyFont="1" applyFill="1" applyBorder="1" applyAlignment="1">
      <alignment horizontal="center" vertical="center"/>
    </xf>
    <xf numFmtId="0" fontId="11" fillId="6" borderId="20" xfId="0" applyFont="1" applyFill="1" applyBorder="1" applyAlignment="1">
      <alignment horizontal="center" vertical="center"/>
    </xf>
    <xf numFmtId="0" fontId="11" fillId="6" borderId="12" xfId="0" applyFont="1" applyFill="1" applyBorder="1" applyAlignment="1">
      <alignment horizontal="center" vertical="center"/>
    </xf>
    <xf numFmtId="0" fontId="11" fillId="6" borderId="64" xfId="0" applyFont="1" applyFill="1" applyBorder="1" applyAlignment="1">
      <alignment horizontal="center" vertical="center"/>
    </xf>
    <xf numFmtId="0" fontId="10" fillId="6" borderId="20" xfId="0" applyFont="1" applyFill="1" applyBorder="1" applyAlignment="1">
      <alignment horizontal="center" vertical="center"/>
    </xf>
    <xf numFmtId="0" fontId="10" fillId="0" borderId="22" xfId="0" applyFont="1" applyBorder="1" applyAlignment="1">
      <alignment horizontal="center" vertical="center"/>
    </xf>
    <xf numFmtId="0" fontId="10" fillId="0" borderId="4" xfId="0" applyFont="1" applyBorder="1" applyAlignment="1">
      <alignment horizontal="center" vertical="center"/>
    </xf>
    <xf numFmtId="0" fontId="10" fillId="12" borderId="3" xfId="0" applyFont="1" applyFill="1" applyBorder="1" applyAlignment="1">
      <alignment horizontal="center" vertical="center"/>
    </xf>
    <xf numFmtId="0" fontId="10" fillId="12" borderId="4" xfId="0" applyFont="1" applyFill="1" applyBorder="1" applyAlignment="1">
      <alignment horizontal="center" vertical="center"/>
    </xf>
    <xf numFmtId="0" fontId="10" fillId="3" borderId="4" xfId="0" applyFont="1" applyFill="1" applyBorder="1" applyAlignment="1">
      <alignment horizontal="center" vertical="center"/>
    </xf>
    <xf numFmtId="0" fontId="10" fillId="0" borderId="5" xfId="0" applyFont="1" applyBorder="1" applyAlignment="1">
      <alignment horizontal="center" vertical="center"/>
    </xf>
    <xf numFmtId="0" fontId="10" fillId="12" borderId="5" xfId="0" applyFont="1" applyFill="1" applyBorder="1" applyAlignment="1">
      <alignment horizontal="center" vertical="center"/>
    </xf>
    <xf numFmtId="0" fontId="10" fillId="3" borderId="5" xfId="0" applyFont="1" applyFill="1" applyBorder="1" applyAlignment="1">
      <alignment horizontal="center" vertical="center"/>
    </xf>
    <xf numFmtId="0" fontId="10" fillId="12" borderId="6" xfId="0" applyFont="1" applyFill="1" applyBorder="1" applyAlignment="1">
      <alignment horizontal="center" vertical="center"/>
    </xf>
    <xf numFmtId="0" fontId="10" fillId="0" borderId="65" xfId="0" applyFont="1" applyBorder="1" applyAlignment="1">
      <alignment horizontal="center" vertical="center"/>
    </xf>
    <xf numFmtId="0" fontId="10" fillId="12" borderId="22" xfId="0" applyFont="1" applyFill="1" applyBorder="1" applyAlignment="1">
      <alignment horizontal="center" vertical="center"/>
    </xf>
    <xf numFmtId="0" fontId="10" fillId="0" borderId="3" xfId="0" applyFont="1" applyBorder="1" applyAlignment="1">
      <alignment horizontal="center" vertical="center"/>
    </xf>
    <xf numFmtId="0" fontId="10" fillId="0" borderId="6" xfId="0" applyFont="1" applyBorder="1" applyAlignment="1">
      <alignment horizontal="center" vertical="center"/>
    </xf>
    <xf numFmtId="0" fontId="10" fillId="12" borderId="65" xfId="0" applyFont="1" applyFill="1" applyBorder="1" applyAlignment="1">
      <alignment horizontal="center" vertical="center"/>
    </xf>
    <xf numFmtId="0" fontId="2" fillId="0" borderId="14" xfId="0" applyFont="1" applyBorder="1" applyAlignment="1">
      <alignment horizontal="center" vertical="center"/>
    </xf>
    <xf numFmtId="0" fontId="34" fillId="12" borderId="18" xfId="0" applyFont="1" applyFill="1" applyBorder="1" applyAlignment="1">
      <alignment horizontal="center" vertical="center"/>
    </xf>
    <xf numFmtId="0" fontId="10" fillId="3" borderId="6" xfId="0" applyFont="1" applyFill="1" applyBorder="1" applyAlignment="1">
      <alignment horizontal="center" vertical="center"/>
    </xf>
    <xf numFmtId="0" fontId="10" fillId="4" borderId="10" xfId="0" applyFont="1" applyFill="1" applyBorder="1" applyAlignment="1">
      <alignment horizontal="center" vertical="center"/>
    </xf>
    <xf numFmtId="0" fontId="10" fillId="4" borderId="1" xfId="0" applyFont="1" applyFill="1" applyBorder="1" applyAlignment="1">
      <alignment horizontal="center" vertical="center"/>
    </xf>
    <xf numFmtId="164" fontId="2" fillId="12" borderId="2" xfId="0" applyNumberFormat="1" applyFont="1" applyFill="1" applyBorder="1" applyAlignment="1">
      <alignment horizontal="center" vertical="center"/>
    </xf>
    <xf numFmtId="0" fontId="10" fillId="9" borderId="8" xfId="0" applyFont="1" applyFill="1" applyBorder="1" applyAlignment="1">
      <alignment horizontal="center" vertical="center"/>
    </xf>
    <xf numFmtId="0" fontId="10" fillId="9" borderId="2" xfId="0" applyFont="1" applyFill="1" applyBorder="1" applyAlignment="1">
      <alignment horizontal="center" vertical="center"/>
    </xf>
    <xf numFmtId="0" fontId="34" fillId="9" borderId="5" xfId="0" applyFont="1" applyFill="1" applyBorder="1" applyAlignment="1">
      <alignment horizontal="center" vertical="center"/>
    </xf>
    <xf numFmtId="0" fontId="10" fillId="13" borderId="8" xfId="0" applyFont="1" applyFill="1" applyBorder="1" applyAlignment="1">
      <alignment horizontal="center" vertical="center"/>
    </xf>
    <xf numFmtId="0" fontId="10" fillId="13" borderId="2" xfId="0" applyFont="1" applyFill="1" applyBorder="1" applyAlignment="1">
      <alignment horizontal="center" vertical="center"/>
    </xf>
    <xf numFmtId="0" fontId="34" fillId="13" borderId="4" xfId="0" applyFont="1" applyFill="1" applyBorder="1" applyAlignment="1">
      <alignment horizontal="center" vertical="center"/>
    </xf>
    <xf numFmtId="0" fontId="60" fillId="0" borderId="0" xfId="0" applyFont="1" applyAlignment="1">
      <alignment vertical="top"/>
    </xf>
    <xf numFmtId="0" fontId="4" fillId="0" borderId="0" xfId="0" applyFont="1" applyAlignment="1">
      <alignment vertical="top"/>
    </xf>
    <xf numFmtId="0" fontId="61" fillId="0" borderId="0" xfId="0" applyFont="1"/>
    <xf numFmtId="0" fontId="63" fillId="17" borderId="77" xfId="0" applyFont="1" applyFill="1" applyBorder="1" applyAlignment="1">
      <alignment horizontal="center" vertical="center"/>
    </xf>
    <xf numFmtId="164" fontId="5" fillId="17" borderId="31" xfId="0" applyNumberFormat="1" applyFont="1" applyFill="1" applyBorder="1" applyAlignment="1">
      <alignment horizontal="center" vertical="center"/>
    </xf>
    <xf numFmtId="4" fontId="63" fillId="17" borderId="78" xfId="0" applyNumberFormat="1" applyFont="1" applyFill="1" applyBorder="1" applyAlignment="1">
      <alignment horizontal="center" vertical="center"/>
    </xf>
    <xf numFmtId="0" fontId="63" fillId="0" borderId="77" xfId="0" applyFont="1" applyBorder="1" applyAlignment="1">
      <alignment horizontal="center" vertical="center"/>
    </xf>
    <xf numFmtId="164" fontId="5" fillId="0" borderId="31" xfId="0" applyNumberFormat="1" applyFont="1" applyBorder="1" applyAlignment="1">
      <alignment horizontal="center" vertical="center"/>
    </xf>
    <xf numFmtId="164" fontId="5" fillId="17" borderId="79" xfId="0" applyNumberFormat="1" applyFont="1" applyFill="1" applyBorder="1" applyAlignment="1">
      <alignment horizontal="center" vertical="center"/>
    </xf>
    <xf numFmtId="4" fontId="63" fillId="17" borderId="80" xfId="0" applyNumberFormat="1" applyFont="1" applyFill="1" applyBorder="1" applyAlignment="1">
      <alignment horizontal="center" vertical="center"/>
    </xf>
    <xf numFmtId="0" fontId="63" fillId="17" borderId="81" xfId="0" applyFont="1" applyFill="1" applyBorder="1" applyAlignment="1">
      <alignment horizontal="center" vertical="center"/>
    </xf>
    <xf numFmtId="4" fontId="63" fillId="26" borderId="76" xfId="0" applyNumberFormat="1" applyFont="1" applyFill="1" applyBorder="1" applyAlignment="1">
      <alignment horizontal="center" vertical="center"/>
    </xf>
    <xf numFmtId="0" fontId="5" fillId="26" borderId="82" xfId="0" applyFont="1" applyFill="1" applyBorder="1" applyAlignment="1">
      <alignment horizontal="center"/>
    </xf>
    <xf numFmtId="4" fontId="63" fillId="0" borderId="78" xfId="0" applyNumberFormat="1" applyFont="1" applyBorder="1" applyAlignment="1">
      <alignment horizontal="center" vertical="center"/>
    </xf>
    <xf numFmtId="164" fontId="5" fillId="17" borderId="83" xfId="0" applyNumberFormat="1" applyFont="1" applyFill="1" applyBorder="1" applyAlignment="1">
      <alignment horizontal="center" vertical="center"/>
    </xf>
    <xf numFmtId="164" fontId="22" fillId="0" borderId="49" xfId="0" applyNumberFormat="1" applyFont="1" applyBorder="1" applyAlignment="1">
      <alignment horizontal="center" vertical="center"/>
    </xf>
    <xf numFmtId="0" fontId="11" fillId="4" borderId="12" xfId="0" applyFont="1" applyFill="1" applyBorder="1" applyAlignment="1">
      <alignment horizontal="center" vertical="center"/>
    </xf>
    <xf numFmtId="0" fontId="11" fillId="4" borderId="10" xfId="0" applyFont="1" applyFill="1" applyBorder="1" applyAlignment="1">
      <alignment horizontal="center" vertical="center"/>
    </xf>
    <xf numFmtId="0" fontId="16" fillId="13" borderId="28" xfId="0" applyFont="1" applyFill="1" applyBorder="1" applyAlignment="1">
      <alignment horizontal="center" vertical="center"/>
    </xf>
    <xf numFmtId="0" fontId="34" fillId="4" borderId="6" xfId="0" applyFont="1" applyFill="1" applyBorder="1" applyAlignment="1">
      <alignment horizontal="center" vertical="center"/>
    </xf>
    <xf numFmtId="0" fontId="10" fillId="4" borderId="9" xfId="0" applyFont="1" applyFill="1" applyBorder="1" applyAlignment="1">
      <alignment horizontal="center" vertical="center"/>
    </xf>
    <xf numFmtId="0" fontId="12" fillId="0" borderId="52" xfId="0" applyFont="1" applyBorder="1" applyAlignment="1">
      <alignment horizontal="center" vertical="center"/>
    </xf>
    <xf numFmtId="0" fontId="0" fillId="0" borderId="53" xfId="0" applyBorder="1" applyAlignment="1">
      <alignment horizontal="center" vertical="center"/>
    </xf>
    <xf numFmtId="0" fontId="24" fillId="0" borderId="0" xfId="0" applyFont="1" applyAlignment="1">
      <alignment horizontal="center" vertical="center"/>
    </xf>
    <xf numFmtId="0" fontId="25" fillId="0" borderId="0" xfId="0" applyFont="1" applyAlignment="1">
      <alignment horizontal="center" vertical="center"/>
    </xf>
    <xf numFmtId="0" fontId="12" fillId="0" borderId="13" xfId="0" applyFont="1" applyBorder="1" applyAlignment="1">
      <alignment horizontal="center" vertical="center"/>
    </xf>
    <xf numFmtId="0" fontId="0" fillId="0" borderId="17" xfId="0" applyBorder="1" applyAlignment="1">
      <alignment horizontal="center" vertical="center"/>
    </xf>
    <xf numFmtId="0" fontId="51" fillId="4" borderId="13" xfId="0" applyFont="1" applyFill="1" applyBorder="1" applyAlignment="1" applyProtection="1">
      <alignment horizontal="center"/>
      <protection locked="0"/>
    </xf>
    <xf numFmtId="0" fontId="27" fillId="19" borderId="13" xfId="0" applyFont="1" applyFill="1" applyBorder="1" applyAlignment="1" applyProtection="1">
      <alignment horizontal="center"/>
      <protection locked="0"/>
    </xf>
    <xf numFmtId="0" fontId="27" fillId="19" borderId="9" xfId="0" applyFont="1" applyFill="1" applyBorder="1" applyAlignment="1" applyProtection="1">
      <alignment horizontal="center"/>
      <protection locked="0"/>
    </xf>
    <xf numFmtId="0" fontId="27" fillId="19" borderId="14" xfId="0" applyFont="1" applyFill="1" applyBorder="1" applyAlignment="1" applyProtection="1">
      <alignment horizontal="center"/>
      <protection locked="0"/>
    </xf>
    <xf numFmtId="0" fontId="27" fillId="19" borderId="15" xfId="0" applyFont="1" applyFill="1" applyBorder="1" applyAlignment="1" applyProtection="1">
      <alignment horizontal="center"/>
      <protection locked="0"/>
    </xf>
    <xf numFmtId="0" fontId="27" fillId="19" borderId="0" xfId="0" applyFont="1" applyFill="1" applyAlignment="1" applyProtection="1">
      <alignment horizontal="center"/>
      <protection locked="0"/>
    </xf>
    <xf numFmtId="0" fontId="27" fillId="19" borderId="16" xfId="0" applyFont="1" applyFill="1" applyBorder="1" applyAlignment="1" applyProtection="1">
      <alignment horizontal="center"/>
      <protection locked="0"/>
    </xf>
    <xf numFmtId="0" fontId="38" fillId="0" borderId="9" xfId="0" applyFont="1" applyBorder="1" applyAlignment="1">
      <alignment horizontal="center" vertical="center" wrapText="1"/>
    </xf>
    <xf numFmtId="0" fontId="39" fillId="0" borderId="9" xfId="0" applyFont="1" applyBorder="1" applyAlignment="1">
      <alignment horizontal="center" vertical="center" wrapText="1"/>
    </xf>
    <xf numFmtId="0" fontId="39" fillId="0" borderId="0" xfId="0" applyFont="1" applyAlignment="1">
      <alignment horizontal="center" vertical="center" wrapText="1"/>
    </xf>
    <xf numFmtId="0" fontId="62" fillId="25" borderId="72" xfId="0" applyFont="1" applyFill="1" applyBorder="1" applyAlignment="1">
      <alignment horizontal="center" vertical="center"/>
    </xf>
    <xf numFmtId="0" fontId="62" fillId="25" borderId="73" xfId="0" applyFont="1" applyFill="1" applyBorder="1" applyAlignment="1">
      <alignment horizontal="center" vertical="center"/>
    </xf>
    <xf numFmtId="0" fontId="62" fillId="25" borderId="74" xfId="0" applyFont="1" applyFill="1" applyBorder="1" applyAlignment="1">
      <alignment horizontal="center" vertical="center"/>
    </xf>
    <xf numFmtId="0" fontId="5" fillId="26" borderId="37" xfId="0" applyFont="1" applyFill="1" applyBorder="1" applyAlignment="1">
      <alignment horizontal="center" vertical="center"/>
    </xf>
    <xf numFmtId="0" fontId="5" fillId="26" borderId="69" xfId="0" applyFont="1" applyFill="1" applyBorder="1" applyAlignment="1">
      <alignment horizontal="center" vertical="center"/>
    </xf>
    <xf numFmtId="0" fontId="5" fillId="26" borderId="66" xfId="0" applyFont="1" applyFill="1" applyBorder="1" applyAlignment="1">
      <alignment horizontal="center" vertical="center"/>
    </xf>
    <xf numFmtId="0" fontId="5" fillId="26" borderId="75" xfId="0" applyFont="1" applyFill="1" applyBorder="1" applyAlignment="1">
      <alignment horizontal="center" vertical="center"/>
    </xf>
    <xf numFmtId="0" fontId="10" fillId="5" borderId="15" xfId="0" applyFont="1" applyFill="1" applyBorder="1" applyAlignment="1"/>
    <xf numFmtId="0" fontId="1" fillId="0" borderId="0" xfId="0" applyFont="1" applyAlignment="1"/>
    <xf numFmtId="0" fontId="1" fillId="0" borderId="16" xfId="0" applyFont="1" applyBorder="1" applyAlignment="1"/>
    <xf numFmtId="0" fontId="26" fillId="0" borderId="0" xfId="0" applyFont="1" applyAlignment="1"/>
    <xf numFmtId="0" fontId="0" fillId="0" borderId="0" xfId="0" applyAlignment="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00FF"/>
      <color rgb="FFCCFFFF"/>
      <color rgb="FF9933FF"/>
      <color rgb="FFF9CEE2"/>
      <color rgb="FFFFCC00"/>
      <color rgb="FFEECF13"/>
      <color rgb="FFFF00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Alexander Garvin" id="{46519DFF-0131-364B-9DF4-75AA3DD7BA6D}" userId="Alexander Garvi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C30" dT="2026-01-05T11:06:40.50" personId="{46519DFF-0131-364B-9DF4-75AA3DD7BA6D}" id="{B2927B31-9D54-194C-AEA7-D9E6D78638EB}">
    <text>I put this here for you in case you wanted to keep it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7FC89-8EC2-A341-9CE4-ED4F9B47DADA}">
  <sheetPr codeName="Sheet1"/>
  <dimension ref="A1:CW79"/>
  <sheetViews>
    <sheetView showGridLines="0" zoomScale="40" zoomScaleNormal="40" workbookViewId="0">
      <selection activeCell="B33" sqref="B33"/>
    </sheetView>
  </sheetViews>
  <sheetFormatPr defaultColWidth="8.7109375" defaultRowHeight="14.45"/>
  <cols>
    <col min="1" max="1" width="22.28515625" customWidth="1"/>
    <col min="4" max="4" width="8.7109375" style="1"/>
    <col min="18" max="18" width="9.42578125" customWidth="1"/>
    <col min="32" max="32" width="11.7109375" bestFit="1" customWidth="1"/>
    <col min="33" max="33" width="21.42578125" customWidth="1"/>
    <col min="34" max="34" width="8.7109375" customWidth="1"/>
    <col min="36" max="36" width="11.7109375" bestFit="1" customWidth="1"/>
  </cols>
  <sheetData>
    <row r="1" spans="1:101" ht="28.9" thickTop="1" thickBot="1">
      <c r="A1" s="185" t="s">
        <v>0</v>
      </c>
      <c r="B1" s="280">
        <v>1</v>
      </c>
      <c r="C1" s="385">
        <v>2</v>
      </c>
      <c r="D1" s="281">
        <v>3</v>
      </c>
      <c r="E1" s="141">
        <v>4</v>
      </c>
      <c r="F1" s="140">
        <v>5</v>
      </c>
      <c r="G1" s="281">
        <v>6</v>
      </c>
      <c r="H1" s="281">
        <v>7</v>
      </c>
      <c r="I1" s="281">
        <v>8</v>
      </c>
      <c r="J1" s="369">
        <v>9</v>
      </c>
      <c r="K1" s="281">
        <v>10</v>
      </c>
      <c r="L1" s="142">
        <v>11</v>
      </c>
      <c r="M1" s="192">
        <v>12</v>
      </c>
      <c r="N1" s="281">
        <v>13</v>
      </c>
      <c r="O1" s="281">
        <v>14</v>
      </c>
      <c r="P1" s="283">
        <v>15</v>
      </c>
      <c r="Q1" s="281">
        <v>16</v>
      </c>
      <c r="R1" s="283">
        <v>17</v>
      </c>
      <c r="S1" s="140">
        <v>18</v>
      </c>
      <c r="T1" s="140">
        <v>19</v>
      </c>
      <c r="U1" s="283">
        <v>20</v>
      </c>
      <c r="V1" s="281">
        <v>21</v>
      </c>
      <c r="W1" s="283">
        <v>22</v>
      </c>
      <c r="X1" s="369">
        <v>23</v>
      </c>
      <c r="Y1" s="283">
        <v>24</v>
      </c>
      <c r="Z1" s="140">
        <v>25</v>
      </c>
      <c r="AA1" s="142">
        <v>26</v>
      </c>
      <c r="AB1" s="281">
        <v>27</v>
      </c>
      <c r="AC1" s="283">
        <v>28</v>
      </c>
      <c r="AD1" s="281">
        <v>29</v>
      </c>
      <c r="AE1" s="285">
        <v>30</v>
      </c>
      <c r="AF1" s="191" t="s">
        <v>1</v>
      </c>
      <c r="AG1" s="474" t="s">
        <v>2</v>
      </c>
    </row>
    <row r="2" spans="1:101" ht="29.45" thickBot="1">
      <c r="A2" s="201" t="s">
        <v>3</v>
      </c>
      <c r="B2" s="286" t="s">
        <v>4</v>
      </c>
      <c r="C2" s="386" t="s">
        <v>5</v>
      </c>
      <c r="D2" s="287" t="s">
        <v>6</v>
      </c>
      <c r="E2" s="160" t="s">
        <v>7</v>
      </c>
      <c r="F2" s="163" t="s">
        <v>8</v>
      </c>
      <c r="G2" s="287" t="s">
        <v>9</v>
      </c>
      <c r="H2" s="287" t="s">
        <v>10</v>
      </c>
      <c r="I2" s="287" t="s">
        <v>4</v>
      </c>
      <c r="J2" s="370" t="s">
        <v>5</v>
      </c>
      <c r="K2" s="287" t="s">
        <v>6</v>
      </c>
      <c r="L2" s="160" t="s">
        <v>7</v>
      </c>
      <c r="M2" s="162" t="s">
        <v>8</v>
      </c>
      <c r="N2" s="287" t="s">
        <v>9</v>
      </c>
      <c r="O2" s="287" t="s">
        <v>10</v>
      </c>
      <c r="P2" s="287" t="s">
        <v>4</v>
      </c>
      <c r="Q2" s="287" t="s">
        <v>10</v>
      </c>
      <c r="R2" s="286" t="s">
        <v>6</v>
      </c>
      <c r="S2" s="160" t="s">
        <v>7</v>
      </c>
      <c r="T2" s="163" t="s">
        <v>8</v>
      </c>
      <c r="U2" s="287" t="s">
        <v>9</v>
      </c>
      <c r="V2" s="287" t="s">
        <v>10</v>
      </c>
      <c r="W2" s="287" t="s">
        <v>4</v>
      </c>
      <c r="X2" s="370" t="s">
        <v>5</v>
      </c>
      <c r="Y2" s="286" t="s">
        <v>6</v>
      </c>
      <c r="Z2" s="163" t="s">
        <v>7</v>
      </c>
      <c r="AA2" s="162" t="s">
        <v>8</v>
      </c>
      <c r="AB2" s="287" t="s">
        <v>9</v>
      </c>
      <c r="AC2" s="288" t="s">
        <v>10</v>
      </c>
      <c r="AD2" s="287" t="s">
        <v>4</v>
      </c>
      <c r="AE2" s="289" t="s">
        <v>5</v>
      </c>
      <c r="AF2" s="213">
        <f>SUM(AF5,AF8,AF11,AF14,AF17,AF20,AF23,AF26,AF29,AF32,AF35,AF38,AF41,AF44,AF47,AF50,AF53,AF56,AF59,AF62,AF65)</f>
        <v>61</v>
      </c>
      <c r="AG2" s="475" t="s">
        <v>11</v>
      </c>
    </row>
    <row r="3" spans="1:101" ht="28.9" thickBot="1">
      <c r="A3" s="146" t="s">
        <v>12</v>
      </c>
      <c r="B3" s="623" t="s">
        <v>13</v>
      </c>
      <c r="C3" s="623" t="s">
        <v>13</v>
      </c>
      <c r="D3" s="623" t="s">
        <v>13</v>
      </c>
      <c r="E3" s="623"/>
      <c r="F3" s="623"/>
      <c r="G3" s="623" t="s">
        <v>13</v>
      </c>
      <c r="H3" s="623" t="s">
        <v>13</v>
      </c>
      <c r="I3" s="623" t="s">
        <v>13</v>
      </c>
      <c r="J3" s="623" t="s">
        <v>13</v>
      </c>
      <c r="K3" s="623" t="s">
        <v>13</v>
      </c>
      <c r="L3" s="624"/>
      <c r="M3" s="625"/>
      <c r="N3" s="623" t="s">
        <v>13</v>
      </c>
      <c r="O3" s="623" t="s">
        <v>13</v>
      </c>
      <c r="P3" s="623" t="s">
        <v>13</v>
      </c>
      <c r="Q3" s="623" t="s">
        <v>13</v>
      </c>
      <c r="R3" s="623" t="s">
        <v>13</v>
      </c>
      <c r="S3" s="624"/>
      <c r="T3" s="623"/>
      <c r="U3" s="626" t="s">
        <v>13</v>
      </c>
      <c r="V3" s="623" t="s">
        <v>13</v>
      </c>
      <c r="W3" s="623" t="s">
        <v>13</v>
      </c>
      <c r="X3" s="623" t="s">
        <v>13</v>
      </c>
      <c r="Y3" s="623" t="s">
        <v>13</v>
      </c>
      <c r="Z3" s="624"/>
      <c r="AA3" s="625"/>
      <c r="AB3" s="623" t="s">
        <v>13</v>
      </c>
      <c r="AC3" s="623" t="s">
        <v>13</v>
      </c>
      <c r="AD3" s="623" t="s">
        <v>13</v>
      </c>
      <c r="AE3" s="625" t="s">
        <v>13</v>
      </c>
      <c r="AF3" s="357">
        <f t="shared" ref="AF3:AF5" si="0">SUM(B3:AE3)</f>
        <v>0</v>
      </c>
      <c r="AG3" s="476"/>
    </row>
    <row r="4" spans="1:101" ht="28.9" thickBot="1">
      <c r="A4" s="146" t="s">
        <v>14</v>
      </c>
      <c r="B4" s="223">
        <v>7.5</v>
      </c>
      <c r="C4" s="387">
        <v>7.5</v>
      </c>
      <c r="D4" s="224">
        <v>7.5</v>
      </c>
      <c r="E4" s="103"/>
      <c r="F4" s="103"/>
      <c r="G4" s="224">
        <v>7.5</v>
      </c>
      <c r="H4" s="224">
        <v>7.5</v>
      </c>
      <c r="I4" s="224">
        <v>7.5</v>
      </c>
      <c r="J4" s="372">
        <v>7.5</v>
      </c>
      <c r="K4" s="224">
        <v>7.5</v>
      </c>
      <c r="L4" s="103"/>
      <c r="M4" s="103"/>
      <c r="N4" s="224">
        <v>7.5</v>
      </c>
      <c r="O4" s="224">
        <v>7.5</v>
      </c>
      <c r="P4" s="224">
        <v>7.5</v>
      </c>
      <c r="Q4" s="224">
        <v>7.5</v>
      </c>
      <c r="R4" s="224">
        <v>7.5</v>
      </c>
      <c r="S4" s="103"/>
      <c r="T4" s="103"/>
      <c r="U4" s="224">
        <v>7.5</v>
      </c>
      <c r="V4" s="224">
        <v>7.5</v>
      </c>
      <c r="W4" s="224">
        <v>7.5</v>
      </c>
      <c r="X4" s="372">
        <v>7.5</v>
      </c>
      <c r="Y4" s="224">
        <v>7.5</v>
      </c>
      <c r="Z4" s="103"/>
      <c r="AA4" s="103"/>
      <c r="AB4" s="224">
        <v>7.5</v>
      </c>
      <c r="AC4" s="224">
        <v>7.5</v>
      </c>
      <c r="AD4" s="224">
        <v>7.5</v>
      </c>
      <c r="AE4" s="225">
        <v>7.5</v>
      </c>
      <c r="AF4" s="216">
        <f t="shared" si="0"/>
        <v>165</v>
      </c>
      <c r="AG4" s="477"/>
    </row>
    <row r="5" spans="1:101" ht="28.9" thickBot="1">
      <c r="A5" s="187" t="s">
        <v>15</v>
      </c>
      <c r="B5" s="226"/>
      <c r="C5" s="388"/>
      <c r="D5" s="227"/>
      <c r="E5" s="135"/>
      <c r="F5" s="133"/>
      <c r="G5" s="227"/>
      <c r="H5" s="227"/>
      <c r="I5" s="227"/>
      <c r="J5" s="373"/>
      <c r="K5" s="229"/>
      <c r="L5" s="133"/>
      <c r="M5" s="134"/>
      <c r="N5" s="227"/>
      <c r="O5" s="229"/>
      <c r="P5" s="227"/>
      <c r="Q5" s="229"/>
      <c r="R5" s="227"/>
      <c r="S5" s="133"/>
      <c r="T5" s="134"/>
      <c r="U5" s="227"/>
      <c r="V5" s="229"/>
      <c r="W5" s="227"/>
      <c r="X5" s="395"/>
      <c r="Y5" s="227"/>
      <c r="Z5" s="138"/>
      <c r="AA5" s="138"/>
      <c r="AB5" s="232"/>
      <c r="AC5" s="233"/>
      <c r="AD5" s="232"/>
      <c r="AE5" s="231"/>
      <c r="AF5" s="184">
        <f t="shared" si="0"/>
        <v>0</v>
      </c>
      <c r="AG5" s="478"/>
    </row>
    <row r="6" spans="1:101" ht="29.45" thickBot="1">
      <c r="A6" s="146" t="s">
        <v>16</v>
      </c>
      <c r="B6" s="234" t="s">
        <v>17</v>
      </c>
      <c r="C6" s="389" t="s">
        <v>13</v>
      </c>
      <c r="D6" s="235"/>
      <c r="E6" s="333"/>
      <c r="F6" s="208"/>
      <c r="G6" s="235" t="s">
        <v>17</v>
      </c>
      <c r="H6" s="235" t="s">
        <v>13</v>
      </c>
      <c r="I6" s="235"/>
      <c r="J6" s="384"/>
      <c r="K6" s="235" t="s">
        <v>18</v>
      </c>
      <c r="L6" s="335"/>
      <c r="M6" s="336" t="s">
        <v>18</v>
      </c>
      <c r="N6" s="235" t="s">
        <v>13</v>
      </c>
      <c r="O6" s="235" t="s">
        <v>13</v>
      </c>
      <c r="P6" s="235"/>
      <c r="Q6" s="235"/>
      <c r="R6" s="235"/>
      <c r="S6" s="335" t="s">
        <v>18</v>
      </c>
      <c r="T6" s="358"/>
      <c r="U6" s="442" t="s">
        <v>13</v>
      </c>
      <c r="V6" s="235"/>
      <c r="W6" s="235"/>
      <c r="X6" s="396"/>
      <c r="Y6" s="244" t="s">
        <v>17</v>
      </c>
      <c r="Z6" s="335"/>
      <c r="AA6" s="208"/>
      <c r="AB6" s="237" t="s">
        <v>13</v>
      </c>
      <c r="AC6" s="236"/>
      <c r="AD6" s="236"/>
      <c r="AE6" s="245" t="s">
        <v>18</v>
      </c>
      <c r="AF6" s="357">
        <f t="shared" ref="AF6:AF16" si="1">SUM(B6:AE6)</f>
        <v>0</v>
      </c>
      <c r="AG6" s="479"/>
      <c r="AJ6" s="210"/>
      <c r="AK6" s="210"/>
      <c r="AL6" s="212"/>
    </row>
    <row r="7" spans="1:101" ht="28.9" thickBot="1">
      <c r="A7" s="146" t="s">
        <v>19</v>
      </c>
      <c r="B7" s="223">
        <v>15</v>
      </c>
      <c r="C7" s="387">
        <v>3</v>
      </c>
      <c r="D7" s="224"/>
      <c r="E7" s="103"/>
      <c r="F7" s="108"/>
      <c r="G7" s="246">
        <v>15</v>
      </c>
      <c r="H7" s="224">
        <v>8</v>
      </c>
      <c r="I7" s="224"/>
      <c r="J7" s="372">
        <v>5</v>
      </c>
      <c r="K7" s="224">
        <v>15</v>
      </c>
      <c r="L7" s="108">
        <v>0.5</v>
      </c>
      <c r="M7" s="109">
        <v>15</v>
      </c>
      <c r="N7" s="246">
        <v>8</v>
      </c>
      <c r="O7" s="224">
        <v>7.5</v>
      </c>
      <c r="P7" s="224"/>
      <c r="Q7" s="224"/>
      <c r="R7" s="224"/>
      <c r="S7" s="108">
        <v>15</v>
      </c>
      <c r="T7" s="107">
        <v>0.5</v>
      </c>
      <c r="U7" s="246">
        <v>7.5</v>
      </c>
      <c r="V7" s="224"/>
      <c r="W7" s="224"/>
      <c r="X7" s="372">
        <v>4.5</v>
      </c>
      <c r="Y7" s="224">
        <v>15</v>
      </c>
      <c r="Z7" s="107"/>
      <c r="AA7" s="109"/>
      <c r="AB7" s="246">
        <v>7.5</v>
      </c>
      <c r="AC7" s="224"/>
      <c r="AD7" s="224"/>
      <c r="AE7" s="225">
        <v>15</v>
      </c>
      <c r="AF7" s="216">
        <f t="shared" si="1"/>
        <v>157</v>
      </c>
      <c r="AG7" s="480">
        <f>SUM(AF7-AF67)</f>
        <v>-3</v>
      </c>
    </row>
    <row r="8" spans="1:101" ht="28.9" thickBot="1">
      <c r="A8" s="187" t="s">
        <v>20</v>
      </c>
      <c r="B8" s="226"/>
      <c r="C8" s="388"/>
      <c r="D8" s="227"/>
      <c r="E8" s="135"/>
      <c r="F8" s="133"/>
      <c r="G8" s="227"/>
      <c r="H8" s="227"/>
      <c r="I8" s="227"/>
      <c r="J8" s="373"/>
      <c r="K8" s="229"/>
      <c r="L8" s="133"/>
      <c r="M8" s="134"/>
      <c r="N8" s="227"/>
      <c r="O8" s="227"/>
      <c r="P8" s="228"/>
      <c r="Q8" s="229"/>
      <c r="R8" s="227"/>
      <c r="S8" s="133"/>
      <c r="T8" s="134"/>
      <c r="U8" s="227"/>
      <c r="V8" s="229"/>
      <c r="W8" s="227"/>
      <c r="X8" s="380"/>
      <c r="Y8" s="227"/>
      <c r="Z8" s="134"/>
      <c r="AA8" s="136"/>
      <c r="AB8" s="227"/>
      <c r="AC8" s="229"/>
      <c r="AD8" s="227"/>
      <c r="AE8" s="230"/>
      <c r="AF8" s="184" cm="1">
        <f t="array" ref="AF8">SUMPRODUCT(--(RIGHT(B6:AE6,1)="S"))</f>
        <v>4</v>
      </c>
      <c r="AG8" s="481"/>
    </row>
    <row r="9" spans="1:101" ht="28.9" thickBot="1">
      <c r="A9" s="173" t="s">
        <v>21</v>
      </c>
      <c r="B9" s="255"/>
      <c r="C9" s="390"/>
      <c r="D9" s="248"/>
      <c r="E9" s="107" t="s">
        <v>18</v>
      </c>
      <c r="F9" s="108" t="s">
        <v>18</v>
      </c>
      <c r="G9" s="222"/>
      <c r="H9" s="253"/>
      <c r="I9" s="222"/>
      <c r="J9" s="375"/>
      <c r="K9" s="246" t="s">
        <v>18</v>
      </c>
      <c r="L9" s="108" t="s">
        <v>18</v>
      </c>
      <c r="M9" s="106"/>
      <c r="N9" s="222"/>
      <c r="O9" s="222"/>
      <c r="P9" s="248"/>
      <c r="Q9" s="246" t="s">
        <v>18</v>
      </c>
      <c r="R9" s="246" t="s">
        <v>18</v>
      </c>
      <c r="S9" s="145"/>
      <c r="T9" s="105"/>
      <c r="U9" s="222"/>
      <c r="V9" s="248"/>
      <c r="W9" s="246" t="s">
        <v>18</v>
      </c>
      <c r="X9" s="376" t="s">
        <v>18</v>
      </c>
      <c r="Y9" s="222"/>
      <c r="Z9" s="111"/>
      <c r="AA9" s="106"/>
      <c r="AB9" s="246"/>
      <c r="AC9" s="246" t="s">
        <v>18</v>
      </c>
      <c r="AD9" s="246" t="s">
        <v>18</v>
      </c>
      <c r="AE9" s="247"/>
      <c r="AF9" s="357">
        <f t="shared" ref="AF9:AF10" si="2">SUM(B9:AE9)</f>
        <v>0</v>
      </c>
      <c r="AG9" s="482"/>
    </row>
    <row r="10" spans="1:101" ht="28.9" thickBot="1">
      <c r="A10" s="146" t="s">
        <v>22</v>
      </c>
      <c r="B10" s="255"/>
      <c r="C10" s="390"/>
      <c r="D10" s="248"/>
      <c r="E10" s="107">
        <v>15</v>
      </c>
      <c r="F10" s="108">
        <v>15</v>
      </c>
      <c r="G10" s="246">
        <v>0.5</v>
      </c>
      <c r="H10" s="248"/>
      <c r="I10" s="246"/>
      <c r="J10" s="375">
        <v>5</v>
      </c>
      <c r="K10" s="246">
        <v>15</v>
      </c>
      <c r="L10" s="108">
        <v>15</v>
      </c>
      <c r="M10" s="109">
        <v>0.5</v>
      </c>
      <c r="N10" s="246"/>
      <c r="O10" s="246"/>
      <c r="P10" s="248"/>
      <c r="Q10" s="246">
        <v>15</v>
      </c>
      <c r="R10" s="244">
        <v>15</v>
      </c>
      <c r="S10" s="108">
        <v>0.5</v>
      </c>
      <c r="T10" s="107"/>
      <c r="U10" s="246"/>
      <c r="V10" s="248"/>
      <c r="W10" s="246">
        <v>15</v>
      </c>
      <c r="X10" s="376">
        <v>15</v>
      </c>
      <c r="Y10" s="246">
        <v>0.5</v>
      </c>
      <c r="Z10" s="107"/>
      <c r="AA10" s="109"/>
      <c r="AB10" s="246"/>
      <c r="AC10" s="246">
        <v>15</v>
      </c>
      <c r="AD10" s="246">
        <v>15</v>
      </c>
      <c r="AE10" s="247">
        <v>0.5</v>
      </c>
      <c r="AF10" s="216">
        <f t="shared" si="2"/>
        <v>157.5</v>
      </c>
      <c r="AG10" s="480">
        <f>SUM(AF10-AF67)</f>
        <v>-2.5</v>
      </c>
    </row>
    <row r="11" spans="1:101" ht="28.9" thickBot="1">
      <c r="A11" s="187" t="s">
        <v>23</v>
      </c>
      <c r="B11" s="226"/>
      <c r="C11" s="388"/>
      <c r="D11" s="227"/>
      <c r="E11" s="135"/>
      <c r="F11" s="133"/>
      <c r="G11" s="227"/>
      <c r="H11" s="227"/>
      <c r="I11" s="227"/>
      <c r="J11" s="373"/>
      <c r="K11" s="229"/>
      <c r="L11" s="133"/>
      <c r="M11" s="134"/>
      <c r="N11" s="227"/>
      <c r="O11" s="229"/>
      <c r="P11" s="227"/>
      <c r="Q11" s="229"/>
      <c r="R11" s="227"/>
      <c r="S11" s="133"/>
      <c r="T11" s="134"/>
      <c r="U11" s="227"/>
      <c r="V11" s="229"/>
      <c r="W11" s="227"/>
      <c r="X11" s="380"/>
      <c r="Y11" s="227"/>
      <c r="Z11" s="133"/>
      <c r="AA11" s="136"/>
      <c r="AB11" s="227"/>
      <c r="AC11" s="229"/>
      <c r="AD11" s="227"/>
      <c r="AE11" s="230"/>
      <c r="AF11" s="184" cm="1">
        <f t="array" ref="AF11">SUMPRODUCT(--(RIGHT(B9:AE9,1)="S"))</f>
        <v>10</v>
      </c>
      <c r="AG11" s="483"/>
    </row>
    <row r="12" spans="1:101" ht="28.9" hidden="1" thickBot="1">
      <c r="A12" s="173"/>
      <c r="B12" s="255"/>
      <c r="C12" s="390"/>
      <c r="D12" s="248"/>
      <c r="E12" s="107"/>
      <c r="F12" s="108"/>
      <c r="G12" s="222"/>
      <c r="H12" s="253"/>
      <c r="I12" s="222"/>
      <c r="J12" s="375"/>
      <c r="K12" s="246"/>
      <c r="L12" s="108"/>
      <c r="M12" s="106"/>
      <c r="N12" s="222"/>
      <c r="O12" s="222"/>
      <c r="P12" s="248"/>
      <c r="Q12" s="246"/>
      <c r="R12" s="246"/>
      <c r="S12" s="145"/>
      <c r="T12" s="105"/>
      <c r="U12" s="222"/>
      <c r="V12" s="248"/>
      <c r="W12" s="246"/>
      <c r="X12" s="376"/>
      <c r="Y12" s="222"/>
      <c r="Z12" s="111"/>
      <c r="AA12" s="106"/>
      <c r="AB12" s="246"/>
      <c r="AC12" s="246"/>
      <c r="AD12" s="246"/>
      <c r="AE12" s="247"/>
      <c r="AF12" s="357">
        <f t="shared" si="1"/>
        <v>0</v>
      </c>
      <c r="AG12" s="479"/>
    </row>
    <row r="13" spans="1:101" ht="28.9" hidden="1" thickBot="1">
      <c r="A13" s="146"/>
      <c r="B13" s="255"/>
      <c r="C13" s="390"/>
      <c r="D13" s="248"/>
      <c r="E13" s="107"/>
      <c r="F13" s="108"/>
      <c r="G13" s="246"/>
      <c r="H13" s="248"/>
      <c r="I13" s="246"/>
      <c r="J13" s="375"/>
      <c r="K13" s="246"/>
      <c r="L13" s="108"/>
      <c r="M13" s="109"/>
      <c r="N13" s="246"/>
      <c r="O13" s="246"/>
      <c r="P13" s="248"/>
      <c r="Q13" s="246"/>
      <c r="R13" s="244"/>
      <c r="S13" s="108"/>
      <c r="T13" s="107"/>
      <c r="U13" s="246"/>
      <c r="V13" s="248"/>
      <c r="W13" s="246"/>
      <c r="X13" s="376"/>
      <c r="Y13" s="246"/>
      <c r="Z13" s="107"/>
      <c r="AA13" s="109"/>
      <c r="AB13" s="246"/>
      <c r="AC13" s="246"/>
      <c r="AD13" s="246"/>
      <c r="AE13" s="247"/>
      <c r="AF13" s="216">
        <f t="shared" si="1"/>
        <v>0</v>
      </c>
      <c r="AG13" s="480">
        <f>SUM(AF13-AF67)</f>
        <v>-160</v>
      </c>
    </row>
    <row r="14" spans="1:101" ht="28.9" hidden="1" thickBot="1">
      <c r="A14" s="187"/>
      <c r="B14" s="226"/>
      <c r="C14" s="388"/>
      <c r="D14" s="227"/>
      <c r="E14" s="135"/>
      <c r="F14" s="133"/>
      <c r="G14" s="227"/>
      <c r="H14" s="227"/>
      <c r="I14" s="227"/>
      <c r="J14" s="373"/>
      <c r="K14" s="229"/>
      <c r="L14" s="133"/>
      <c r="M14" s="134"/>
      <c r="N14" s="227"/>
      <c r="O14" s="229"/>
      <c r="P14" s="227"/>
      <c r="Q14" s="229"/>
      <c r="R14" s="227"/>
      <c r="S14" s="133"/>
      <c r="T14" s="134"/>
      <c r="U14" s="227"/>
      <c r="V14" s="229"/>
      <c r="W14" s="227"/>
      <c r="X14" s="380"/>
      <c r="Y14" s="227"/>
      <c r="Z14" s="133"/>
      <c r="AA14" s="136"/>
      <c r="AB14" s="227"/>
      <c r="AC14" s="229"/>
      <c r="AD14" s="227"/>
      <c r="AE14" s="230"/>
      <c r="AF14" s="184">
        <f t="shared" si="1"/>
        <v>0</v>
      </c>
      <c r="AG14" s="483"/>
    </row>
    <row r="15" spans="1:101" ht="28.9" thickBot="1">
      <c r="A15" s="173" t="s">
        <v>24</v>
      </c>
      <c r="B15" s="255"/>
      <c r="C15" s="390" t="s">
        <v>18</v>
      </c>
      <c r="D15" s="248" t="s">
        <v>18</v>
      </c>
      <c r="E15" s="107"/>
      <c r="F15" s="108"/>
      <c r="G15" s="222"/>
      <c r="H15" s="253"/>
      <c r="I15" s="222" t="s">
        <v>18</v>
      </c>
      <c r="J15" s="375" t="s">
        <v>18</v>
      </c>
      <c r="K15" s="246"/>
      <c r="L15" s="108"/>
      <c r="M15" s="106"/>
      <c r="N15" s="222"/>
      <c r="O15" s="222" t="s">
        <v>18</v>
      </c>
      <c r="P15" s="248" t="s">
        <v>18</v>
      </c>
      <c r="Q15" s="246"/>
      <c r="R15" s="246"/>
      <c r="S15" s="145"/>
      <c r="T15" s="105"/>
      <c r="U15" s="222" t="s">
        <v>18</v>
      </c>
      <c r="V15" s="248" t="s">
        <v>18</v>
      </c>
      <c r="W15" s="246"/>
      <c r="X15" s="376"/>
      <c r="Y15" s="222"/>
      <c r="Z15" s="111"/>
      <c r="AA15" s="106" t="s">
        <v>18</v>
      </c>
      <c r="AB15" s="246" t="s">
        <v>18</v>
      </c>
      <c r="AC15" s="246"/>
      <c r="AD15" s="246"/>
      <c r="AE15" s="247"/>
      <c r="AF15" s="357">
        <f t="shared" si="1"/>
        <v>0</v>
      </c>
      <c r="AG15" s="479"/>
    </row>
    <row r="16" spans="1:101" ht="33" customHeight="1" thickBot="1">
      <c r="A16" s="146" t="s">
        <v>25</v>
      </c>
      <c r="B16" s="255"/>
      <c r="C16" s="390">
        <v>15</v>
      </c>
      <c r="D16" s="248">
        <v>15</v>
      </c>
      <c r="E16" s="107">
        <v>0.5</v>
      </c>
      <c r="F16" s="108"/>
      <c r="G16" s="246"/>
      <c r="H16" s="248"/>
      <c r="I16" s="246">
        <v>15</v>
      </c>
      <c r="J16" s="375">
        <v>15</v>
      </c>
      <c r="K16" s="246">
        <v>0.5</v>
      </c>
      <c r="L16" s="108"/>
      <c r="M16" s="109"/>
      <c r="N16" s="246"/>
      <c r="O16" s="246">
        <v>15</v>
      </c>
      <c r="P16" s="248">
        <v>15</v>
      </c>
      <c r="Q16" s="246">
        <v>0.5</v>
      </c>
      <c r="R16" s="258"/>
      <c r="S16" s="108"/>
      <c r="T16" s="107"/>
      <c r="U16" s="246">
        <v>15</v>
      </c>
      <c r="V16" s="248">
        <v>15</v>
      </c>
      <c r="W16" s="246">
        <v>0.5</v>
      </c>
      <c r="X16" s="376">
        <v>4.5</v>
      </c>
      <c r="Y16" s="246"/>
      <c r="Z16" s="107"/>
      <c r="AA16" s="109">
        <v>15</v>
      </c>
      <c r="AB16" s="246">
        <v>15</v>
      </c>
      <c r="AC16" s="246">
        <v>0.5</v>
      </c>
      <c r="AD16" s="246"/>
      <c r="AE16" s="247"/>
      <c r="AF16" s="216">
        <f t="shared" si="1"/>
        <v>157</v>
      </c>
      <c r="AG16" s="480">
        <f>SUM(AF16-AF67)</f>
        <v>-3</v>
      </c>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row>
    <row r="17" spans="1:101" ht="30" customHeight="1" thickBot="1">
      <c r="A17" s="187" t="s">
        <v>23</v>
      </c>
      <c r="B17" s="226"/>
      <c r="C17" s="388"/>
      <c r="D17" s="227"/>
      <c r="E17" s="135"/>
      <c r="F17" s="133"/>
      <c r="G17" s="227"/>
      <c r="H17" s="227"/>
      <c r="I17" s="227"/>
      <c r="J17" s="373"/>
      <c r="K17" s="229"/>
      <c r="L17" s="133"/>
      <c r="M17" s="134"/>
      <c r="N17" s="227"/>
      <c r="O17" s="229"/>
      <c r="P17" s="227"/>
      <c r="Q17" s="229"/>
      <c r="R17" s="227"/>
      <c r="S17" s="133"/>
      <c r="T17" s="134"/>
      <c r="U17" s="227"/>
      <c r="V17" s="229"/>
      <c r="W17" s="227"/>
      <c r="X17" s="380"/>
      <c r="Y17" s="227"/>
      <c r="Z17" s="133"/>
      <c r="AA17" s="136"/>
      <c r="AB17" s="227"/>
      <c r="AC17" s="229"/>
      <c r="AD17" s="227"/>
      <c r="AE17" s="230"/>
      <c r="AF17" s="184" cm="1">
        <f t="array" ref="AF17">SUMPRODUCT(--(RIGHT(B15:AE15,1)="S"))</f>
        <v>10</v>
      </c>
      <c r="AG17" s="483"/>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row>
    <row r="18" spans="1:101" ht="39" thickBot="1">
      <c r="A18" s="173" t="s">
        <v>26</v>
      </c>
      <c r="B18" s="255" t="s">
        <v>18</v>
      </c>
      <c r="C18" s="390" t="s">
        <v>18</v>
      </c>
      <c r="D18" s="248"/>
      <c r="E18" s="107"/>
      <c r="F18" s="108"/>
      <c r="G18" s="222"/>
      <c r="H18" s="253" t="s">
        <v>18</v>
      </c>
      <c r="I18" s="222" t="s">
        <v>18</v>
      </c>
      <c r="J18" s="375"/>
      <c r="K18" s="246"/>
      <c r="L18" s="108"/>
      <c r="M18" s="106"/>
      <c r="N18" s="222" t="s">
        <v>18</v>
      </c>
      <c r="O18" s="222" t="s">
        <v>18</v>
      </c>
      <c r="P18" s="248"/>
      <c r="Q18" s="246"/>
      <c r="R18" s="246"/>
      <c r="S18" s="145"/>
      <c r="T18" s="105" t="s">
        <v>18</v>
      </c>
      <c r="U18" s="222" t="s">
        <v>18</v>
      </c>
      <c r="V18" s="248"/>
      <c r="W18" s="246"/>
      <c r="X18" s="376"/>
      <c r="Y18" s="222"/>
      <c r="Z18" s="111" t="s">
        <v>18</v>
      </c>
      <c r="AA18" s="106" t="s">
        <v>18</v>
      </c>
      <c r="AB18" s="246"/>
      <c r="AC18" s="246"/>
      <c r="AD18" s="246"/>
      <c r="AE18" s="247"/>
      <c r="AF18" s="357">
        <f t="shared" ref="AF18:AF28" si="3">SUM(B18:AE18)</f>
        <v>0</v>
      </c>
      <c r="AG18" s="479"/>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row>
    <row r="19" spans="1:101" ht="25.9" customHeight="1" thickBot="1">
      <c r="A19" s="146" t="s">
        <v>27</v>
      </c>
      <c r="B19" s="255">
        <v>15</v>
      </c>
      <c r="C19" s="390">
        <v>15</v>
      </c>
      <c r="D19" s="248">
        <v>0.5</v>
      </c>
      <c r="E19" s="107"/>
      <c r="F19" s="108"/>
      <c r="G19" s="246"/>
      <c r="H19" s="248">
        <v>15</v>
      </c>
      <c r="I19" s="246">
        <v>15</v>
      </c>
      <c r="J19" s="375">
        <v>4.5</v>
      </c>
      <c r="K19" s="246"/>
      <c r="L19" s="108"/>
      <c r="M19" s="109"/>
      <c r="N19" s="246">
        <v>15</v>
      </c>
      <c r="O19" s="246">
        <v>15</v>
      </c>
      <c r="P19" s="248">
        <v>0.5</v>
      </c>
      <c r="Q19" s="246"/>
      <c r="R19" s="258"/>
      <c r="S19" s="108"/>
      <c r="T19" s="107">
        <v>15</v>
      </c>
      <c r="U19" s="246">
        <v>15</v>
      </c>
      <c r="V19" s="248">
        <v>0.5</v>
      </c>
      <c r="W19" s="246"/>
      <c r="X19" s="376">
        <v>4.5</v>
      </c>
      <c r="Y19" s="246"/>
      <c r="Z19" s="107">
        <v>15</v>
      </c>
      <c r="AA19" s="109">
        <v>15</v>
      </c>
      <c r="AB19" s="246">
        <v>0.5</v>
      </c>
      <c r="AC19" s="246"/>
      <c r="AD19" s="246"/>
      <c r="AE19" s="247"/>
      <c r="AF19" s="216">
        <f t="shared" si="3"/>
        <v>161</v>
      </c>
      <c r="AG19" s="480">
        <f>SUM(AF19-AF67)</f>
        <v>1</v>
      </c>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row>
    <row r="20" spans="1:101" ht="28.15" customHeight="1" thickBot="1">
      <c r="A20" s="187" t="s">
        <v>28</v>
      </c>
      <c r="B20" s="226"/>
      <c r="C20" s="388"/>
      <c r="D20" s="227"/>
      <c r="E20" s="135"/>
      <c r="F20" s="133"/>
      <c r="G20" s="227"/>
      <c r="H20" s="227"/>
      <c r="I20" s="227"/>
      <c r="J20" s="373"/>
      <c r="K20" s="229"/>
      <c r="L20" s="133"/>
      <c r="M20" s="134"/>
      <c r="N20" s="227"/>
      <c r="O20" s="229"/>
      <c r="P20" s="227"/>
      <c r="Q20" s="229"/>
      <c r="R20" s="227"/>
      <c r="S20" s="133"/>
      <c r="T20" s="134"/>
      <c r="U20" s="227"/>
      <c r="V20" s="229"/>
      <c r="W20" s="227"/>
      <c r="X20" s="380"/>
      <c r="Y20" s="227"/>
      <c r="Z20" s="133"/>
      <c r="AA20" s="136"/>
      <c r="AB20" s="227"/>
      <c r="AC20" s="229"/>
      <c r="AD20" s="227"/>
      <c r="AE20" s="230"/>
      <c r="AF20" s="184" cm="1">
        <f t="array" ref="AF20">SUMPRODUCT(--(RIGHT(B18:AE18,1)="S"))</f>
        <v>10</v>
      </c>
      <c r="AG20" s="483"/>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row>
    <row r="21" spans="1:101" ht="28.9" thickBot="1">
      <c r="A21" s="173" t="s">
        <v>29</v>
      </c>
      <c r="B21" s="255"/>
      <c r="C21" s="391"/>
      <c r="D21" s="246"/>
      <c r="E21" s="108"/>
      <c r="F21" s="108" t="s">
        <v>18</v>
      </c>
      <c r="G21" s="246" t="s">
        <v>18</v>
      </c>
      <c r="H21" s="246"/>
      <c r="I21" s="246"/>
      <c r="J21" s="376"/>
      <c r="K21" s="246"/>
      <c r="L21" s="107" t="s">
        <v>18</v>
      </c>
      <c r="M21" s="109" t="s">
        <v>18</v>
      </c>
      <c r="N21" s="246"/>
      <c r="O21" s="246"/>
      <c r="P21" s="246" t="s">
        <v>18</v>
      </c>
      <c r="Q21" s="252"/>
      <c r="R21" s="246" t="s">
        <v>18</v>
      </c>
      <c r="S21" s="108" t="s">
        <v>18</v>
      </c>
      <c r="T21" s="113"/>
      <c r="U21" s="246"/>
      <c r="V21" s="247"/>
      <c r="W21" s="246"/>
      <c r="X21" s="381" t="s">
        <v>18</v>
      </c>
      <c r="Y21" s="246" t="s">
        <v>18</v>
      </c>
      <c r="Z21" s="107"/>
      <c r="AA21" s="113"/>
      <c r="AB21" s="246"/>
      <c r="AC21" s="252"/>
      <c r="AD21" s="246" t="s">
        <v>18</v>
      </c>
      <c r="AE21" s="252"/>
      <c r="AF21" s="357">
        <f t="shared" si="3"/>
        <v>0</v>
      </c>
      <c r="AG21" s="479"/>
    </row>
    <row r="22" spans="1:101" ht="28.9" thickBot="1">
      <c r="A22" s="146" t="s">
        <v>30</v>
      </c>
      <c r="B22" s="255"/>
      <c r="C22" s="391"/>
      <c r="D22" s="246"/>
      <c r="E22" s="108"/>
      <c r="F22" s="108">
        <v>15</v>
      </c>
      <c r="G22" s="246">
        <v>15</v>
      </c>
      <c r="H22" s="246">
        <v>0.5</v>
      </c>
      <c r="I22" s="246"/>
      <c r="J22" s="376">
        <v>4</v>
      </c>
      <c r="K22" s="246"/>
      <c r="L22" s="107">
        <v>15</v>
      </c>
      <c r="M22" s="109">
        <v>15</v>
      </c>
      <c r="N22" s="246">
        <v>0.5</v>
      </c>
      <c r="O22" s="246"/>
      <c r="P22" s="246">
        <v>15</v>
      </c>
      <c r="Q22" s="252">
        <v>0.5</v>
      </c>
      <c r="R22" s="246">
        <v>15</v>
      </c>
      <c r="S22" s="108">
        <v>15</v>
      </c>
      <c r="T22" s="113">
        <v>0.5</v>
      </c>
      <c r="U22" s="246"/>
      <c r="V22" s="247"/>
      <c r="W22" s="246"/>
      <c r="X22" s="381">
        <v>15</v>
      </c>
      <c r="Y22" s="246">
        <v>15</v>
      </c>
      <c r="Z22" s="108">
        <v>0.5</v>
      </c>
      <c r="AA22" s="113"/>
      <c r="AB22" s="246"/>
      <c r="AC22" s="252"/>
      <c r="AD22" s="246">
        <v>15</v>
      </c>
      <c r="AE22" s="252">
        <v>0.5</v>
      </c>
      <c r="AF22" s="216">
        <f t="shared" si="3"/>
        <v>157</v>
      </c>
      <c r="AG22" s="480">
        <f>SUM(AF22-AF67)</f>
        <v>-3</v>
      </c>
    </row>
    <row r="23" spans="1:101" ht="28.9" thickBot="1">
      <c r="A23" s="187" t="s">
        <v>28</v>
      </c>
      <c r="B23" s="226"/>
      <c r="C23" s="388"/>
      <c r="D23" s="227"/>
      <c r="E23" s="133"/>
      <c r="F23" s="133"/>
      <c r="G23" s="227"/>
      <c r="H23" s="227"/>
      <c r="I23" s="227"/>
      <c r="J23" s="373"/>
      <c r="K23" s="227"/>
      <c r="L23" s="135"/>
      <c r="M23" s="136"/>
      <c r="N23" s="227"/>
      <c r="O23" s="227"/>
      <c r="P23" s="227"/>
      <c r="Q23" s="229"/>
      <c r="R23" s="227"/>
      <c r="S23" s="133"/>
      <c r="T23" s="134"/>
      <c r="U23" s="227"/>
      <c r="V23" s="230"/>
      <c r="W23" s="227"/>
      <c r="X23" s="380"/>
      <c r="Y23" s="227"/>
      <c r="Z23" s="133"/>
      <c r="AA23" s="134"/>
      <c r="AB23" s="227"/>
      <c r="AC23" s="229"/>
      <c r="AD23" s="227"/>
      <c r="AE23" s="606"/>
      <c r="AF23" s="184" cm="1">
        <f t="array" ref="AF23">SUMPRODUCT(--(RIGHT(B21:AE21,1)="S"))</f>
        <v>10</v>
      </c>
      <c r="AG23" s="483"/>
    </row>
    <row r="24" spans="1:101" ht="28.9" hidden="1" thickBot="1">
      <c r="A24" s="173"/>
      <c r="B24" s="261"/>
      <c r="C24" s="392"/>
      <c r="D24" s="220"/>
      <c r="E24" s="122"/>
      <c r="F24" s="122"/>
      <c r="G24" s="220"/>
      <c r="H24" s="220"/>
      <c r="I24" s="220"/>
      <c r="J24" s="382"/>
      <c r="K24" s="220"/>
      <c r="L24" s="122"/>
      <c r="M24" s="342"/>
      <c r="N24" s="220"/>
      <c r="O24" s="220"/>
      <c r="P24" s="220"/>
      <c r="Q24" s="220"/>
      <c r="R24" s="262"/>
      <c r="S24" s="334"/>
      <c r="T24" s="112"/>
      <c r="U24" s="222"/>
      <c r="V24" s="256"/>
      <c r="W24" s="222"/>
      <c r="X24" s="383"/>
      <c r="Y24" s="222"/>
      <c r="Z24" s="105"/>
      <c r="AA24" s="112"/>
      <c r="AB24" s="222"/>
      <c r="AC24" s="254"/>
      <c r="AD24" s="222"/>
      <c r="AE24" s="254"/>
      <c r="AF24" s="357">
        <f t="shared" si="3"/>
        <v>0</v>
      </c>
      <c r="AG24" s="479"/>
    </row>
    <row r="25" spans="1:101" ht="34.15" hidden="1" customHeight="1" thickBot="1">
      <c r="A25" s="146"/>
      <c r="B25" s="255"/>
      <c r="C25" s="391"/>
      <c r="D25" s="246"/>
      <c r="E25" s="108"/>
      <c r="F25" s="108"/>
      <c r="G25" s="246"/>
      <c r="H25" s="246"/>
      <c r="I25" s="246"/>
      <c r="J25" s="376"/>
      <c r="K25" s="246"/>
      <c r="L25" s="108"/>
      <c r="M25" s="109"/>
      <c r="N25" s="246"/>
      <c r="O25" s="246"/>
      <c r="P25" s="246"/>
      <c r="Q25" s="246"/>
      <c r="R25" s="246"/>
      <c r="S25" s="108"/>
      <c r="T25" s="113"/>
      <c r="U25" s="246"/>
      <c r="V25" s="246"/>
      <c r="W25" s="246"/>
      <c r="X25" s="381"/>
      <c r="Y25" s="246"/>
      <c r="Z25" s="108"/>
      <c r="AA25" s="108"/>
      <c r="AB25" s="246"/>
      <c r="AC25" s="252"/>
      <c r="AD25" s="246"/>
      <c r="AE25" s="252"/>
      <c r="AF25" s="216">
        <f t="shared" si="3"/>
        <v>0</v>
      </c>
      <c r="AG25" s="480">
        <f>SUM(AF25-AF67)</f>
        <v>-160</v>
      </c>
      <c r="AH25" s="2"/>
    </row>
    <row r="26" spans="1:101" ht="37.15" hidden="1" thickBot="1">
      <c r="A26" s="187"/>
      <c r="B26" s="226"/>
      <c r="C26" s="388"/>
      <c r="D26" s="227"/>
      <c r="E26" s="133"/>
      <c r="F26" s="133"/>
      <c r="G26" s="227"/>
      <c r="H26" s="227"/>
      <c r="I26" s="227"/>
      <c r="J26" s="373"/>
      <c r="K26" s="227"/>
      <c r="L26" s="135"/>
      <c r="M26" s="136"/>
      <c r="N26" s="227"/>
      <c r="O26" s="227"/>
      <c r="P26" s="227"/>
      <c r="Q26" s="227"/>
      <c r="R26" s="227"/>
      <c r="S26" s="135"/>
      <c r="T26" s="134"/>
      <c r="U26" s="227"/>
      <c r="V26" s="230"/>
      <c r="W26" s="227"/>
      <c r="X26" s="380"/>
      <c r="Y26" s="227"/>
      <c r="Z26" s="133"/>
      <c r="AA26" s="134"/>
      <c r="AB26" s="227"/>
      <c r="AC26" s="229"/>
      <c r="AD26" s="227"/>
      <c r="AE26" s="229"/>
      <c r="AF26" s="184">
        <f t="shared" si="3"/>
        <v>0</v>
      </c>
      <c r="AG26" s="483"/>
      <c r="AH26" s="100"/>
    </row>
    <row r="27" spans="1:101" ht="34.15" customHeight="1" thickBot="1">
      <c r="A27" s="465" t="s">
        <v>31</v>
      </c>
      <c r="B27" s="255"/>
      <c r="C27" s="391"/>
      <c r="D27" s="246" t="s">
        <v>18</v>
      </c>
      <c r="E27" s="108" t="s">
        <v>18</v>
      </c>
      <c r="F27" s="108"/>
      <c r="G27" s="246"/>
      <c r="H27" s="246"/>
      <c r="I27" s="246" t="s">
        <v>32</v>
      </c>
      <c r="J27" s="376" t="s">
        <v>18</v>
      </c>
      <c r="K27" s="464">
        <v>2</v>
      </c>
      <c r="L27" s="473"/>
      <c r="M27" s="470"/>
      <c r="N27" s="451"/>
      <c r="O27" s="451"/>
      <c r="P27" s="464">
        <v>2</v>
      </c>
      <c r="Q27" s="252" t="s">
        <v>18</v>
      </c>
      <c r="R27" s="246"/>
      <c r="S27" s="108"/>
      <c r="T27" s="107"/>
      <c r="U27" s="246"/>
      <c r="V27" s="246" t="s">
        <v>18</v>
      </c>
      <c r="W27" s="224" t="s">
        <v>18</v>
      </c>
      <c r="X27" s="375"/>
      <c r="Y27" s="246"/>
      <c r="Z27" s="108"/>
      <c r="AA27" s="180"/>
      <c r="AB27" s="246" t="s">
        <v>18</v>
      </c>
      <c r="AC27" s="246" t="s">
        <v>18</v>
      </c>
      <c r="AD27" s="246"/>
      <c r="AE27" s="252"/>
      <c r="AF27" s="357">
        <f t="shared" si="3"/>
        <v>4</v>
      </c>
      <c r="AG27" s="479"/>
    </row>
    <row r="28" spans="1:101" ht="28.9" thickBot="1">
      <c r="A28" s="146" t="s">
        <v>33</v>
      </c>
      <c r="B28" s="255"/>
      <c r="C28" s="391"/>
      <c r="D28" s="246">
        <v>15</v>
      </c>
      <c r="E28" s="107">
        <v>15</v>
      </c>
      <c r="F28" s="108">
        <v>0.5</v>
      </c>
      <c r="G28" s="246"/>
      <c r="H28" s="246"/>
      <c r="I28" s="246"/>
      <c r="J28" s="376">
        <v>15</v>
      </c>
      <c r="K28" s="458">
        <v>15.5</v>
      </c>
      <c r="L28" s="451"/>
      <c r="M28" s="470"/>
      <c r="N28" s="451"/>
      <c r="O28" s="451"/>
      <c r="P28" s="451">
        <v>15</v>
      </c>
      <c r="Q28" s="246">
        <v>15</v>
      </c>
      <c r="R28" s="246">
        <v>0.5</v>
      </c>
      <c r="S28" s="108"/>
      <c r="T28" s="107"/>
      <c r="U28" s="246"/>
      <c r="V28" s="246">
        <v>15</v>
      </c>
      <c r="W28" s="248">
        <v>15</v>
      </c>
      <c r="X28" s="376">
        <v>4.5</v>
      </c>
      <c r="Y28" s="246"/>
      <c r="Z28" s="108"/>
      <c r="AA28" s="109"/>
      <c r="AB28" s="246">
        <v>15</v>
      </c>
      <c r="AC28" s="257">
        <v>15</v>
      </c>
      <c r="AD28" s="246">
        <v>0.5</v>
      </c>
      <c r="AE28" s="252"/>
      <c r="AF28" s="216">
        <f t="shared" si="3"/>
        <v>156.5</v>
      </c>
      <c r="AG28" s="480">
        <f>SUM(AF28-AF67)</f>
        <v>-3.5</v>
      </c>
    </row>
    <row r="29" spans="1:101" ht="30" customHeight="1" thickBot="1">
      <c r="A29" s="188" t="s">
        <v>34</v>
      </c>
      <c r="B29" s="264"/>
      <c r="C29" s="393"/>
      <c r="D29" s="304"/>
      <c r="E29" s="178"/>
      <c r="F29" s="177"/>
      <c r="G29" s="304"/>
      <c r="H29" s="304"/>
      <c r="I29" s="304"/>
      <c r="J29" s="398"/>
      <c r="K29" s="589"/>
      <c r="L29" s="598"/>
      <c r="M29" s="591"/>
      <c r="N29" s="589"/>
      <c r="O29" s="591"/>
      <c r="P29" s="589"/>
      <c r="Q29" s="304"/>
      <c r="R29" s="304"/>
      <c r="S29" s="177"/>
      <c r="T29" s="178"/>
      <c r="U29" s="304"/>
      <c r="V29" s="307"/>
      <c r="W29" s="304"/>
      <c r="X29" s="398"/>
      <c r="Y29" s="304"/>
      <c r="Z29" s="177"/>
      <c r="AA29" s="466"/>
      <c r="AB29" s="304"/>
      <c r="AC29" s="304"/>
      <c r="AD29" s="304"/>
      <c r="AE29" s="306"/>
      <c r="AF29" s="184" cm="1">
        <f t="array" ref="AF29">SUMPRODUCT(--(RIGHT(B27:AE27,1)="S"))</f>
        <v>8</v>
      </c>
      <c r="AG29" s="483"/>
      <c r="AH29" s="2"/>
    </row>
    <row r="30" spans="1:101" ht="31.9" customHeight="1" thickBot="1">
      <c r="A30" s="173" t="s">
        <v>35</v>
      </c>
      <c r="B30" s="266" t="s">
        <v>18</v>
      </c>
      <c r="C30" s="394"/>
      <c r="D30" s="222"/>
      <c r="E30" s="105"/>
      <c r="F30" s="105"/>
      <c r="G30" s="235" t="s">
        <v>18</v>
      </c>
      <c r="H30" s="235" t="s">
        <v>18</v>
      </c>
      <c r="I30" s="235"/>
      <c r="J30" s="384"/>
      <c r="K30" s="235"/>
      <c r="L30" s="335"/>
      <c r="M30" s="336"/>
      <c r="N30" s="235" t="s">
        <v>18</v>
      </c>
      <c r="O30" s="235" t="s">
        <v>17</v>
      </c>
      <c r="P30" s="235"/>
      <c r="Q30" s="235"/>
      <c r="R30" s="235"/>
      <c r="S30" s="335" t="s">
        <v>18</v>
      </c>
      <c r="T30" s="358" t="s">
        <v>18</v>
      </c>
      <c r="U30" s="242"/>
      <c r="V30" s="235"/>
      <c r="W30" s="235"/>
      <c r="X30" s="396"/>
      <c r="Y30" s="244" t="s">
        <v>18</v>
      </c>
      <c r="Z30" s="335" t="s">
        <v>18</v>
      </c>
      <c r="AA30" s="208"/>
      <c r="AB30" s="237"/>
      <c r="AC30" s="236"/>
      <c r="AD30" s="236"/>
      <c r="AE30" s="245" t="s">
        <v>18</v>
      </c>
      <c r="AF30" s="357">
        <f t="shared" ref="AF30:AF34" si="4">SUM(B30:AE30)</f>
        <v>0</v>
      </c>
      <c r="AG30" s="479"/>
      <c r="AH30" s="2"/>
    </row>
    <row r="31" spans="1:101" ht="34.15" customHeight="1" thickBot="1">
      <c r="A31" s="146" t="s">
        <v>36</v>
      </c>
      <c r="B31" s="255">
        <v>15</v>
      </c>
      <c r="C31" s="391">
        <v>0.5</v>
      </c>
      <c r="D31" s="246"/>
      <c r="E31" s="108"/>
      <c r="F31" s="108"/>
      <c r="G31" s="246">
        <v>15</v>
      </c>
      <c r="H31" s="224">
        <v>15</v>
      </c>
      <c r="I31" s="224">
        <v>0.5</v>
      </c>
      <c r="J31" s="372">
        <v>4</v>
      </c>
      <c r="K31" s="224"/>
      <c r="L31" s="108" t="s">
        <v>32</v>
      </c>
      <c r="M31" s="109" t="s">
        <v>32</v>
      </c>
      <c r="N31" s="246">
        <v>15</v>
      </c>
      <c r="O31" s="224">
        <v>15</v>
      </c>
      <c r="P31" s="224"/>
      <c r="Q31" s="224"/>
      <c r="R31" s="224"/>
      <c r="S31" s="108">
        <v>15</v>
      </c>
      <c r="T31" s="107">
        <v>15</v>
      </c>
      <c r="U31" s="246">
        <v>0.5</v>
      </c>
      <c r="V31" s="224"/>
      <c r="W31" s="224"/>
      <c r="X31" s="372">
        <v>4.5</v>
      </c>
      <c r="Y31" s="224">
        <v>15</v>
      </c>
      <c r="Z31" s="107">
        <v>15</v>
      </c>
      <c r="AA31" s="109">
        <v>0.5</v>
      </c>
      <c r="AB31" s="246"/>
      <c r="AC31" s="224"/>
      <c r="AD31" s="224"/>
      <c r="AE31" s="225">
        <v>11</v>
      </c>
      <c r="AF31" s="216">
        <f t="shared" si="4"/>
        <v>156.5</v>
      </c>
      <c r="AG31" s="480">
        <f>SUM(AF31-AF67)</f>
        <v>-3.5</v>
      </c>
      <c r="AH31" s="2"/>
    </row>
    <row r="32" spans="1:101" ht="31.9" customHeight="1" thickBot="1">
      <c r="A32" s="187" t="s">
        <v>34</v>
      </c>
      <c r="B32" s="226"/>
      <c r="C32" s="388"/>
      <c r="D32" s="227"/>
      <c r="E32" s="133"/>
      <c r="F32" s="133"/>
      <c r="G32" s="227"/>
      <c r="H32" s="227"/>
      <c r="I32" s="227"/>
      <c r="J32" s="373"/>
      <c r="K32" s="229"/>
      <c r="L32" s="133"/>
      <c r="M32" s="134"/>
      <c r="N32" s="227"/>
      <c r="O32" s="227"/>
      <c r="P32" s="228"/>
      <c r="Q32" s="229"/>
      <c r="R32" s="227"/>
      <c r="S32" s="133"/>
      <c r="T32" s="134"/>
      <c r="U32" s="227"/>
      <c r="V32" s="229"/>
      <c r="W32" s="227"/>
      <c r="X32" s="380"/>
      <c r="Y32" s="227"/>
      <c r="Z32" s="134"/>
      <c r="AA32" s="136"/>
      <c r="AB32" s="227"/>
      <c r="AC32" s="229"/>
      <c r="AD32" s="227"/>
      <c r="AE32" s="230"/>
      <c r="AF32" s="184" cm="1">
        <f t="array" ref="AF32">SUMPRODUCT(--(RIGHT(B30:AE30,1)="S"))</f>
        <v>9</v>
      </c>
      <c r="AG32" s="481"/>
      <c r="AH32" s="2"/>
    </row>
    <row r="33" spans="1:59" ht="28.9" thickBot="1">
      <c r="A33" s="173" t="s">
        <v>37</v>
      </c>
      <c r="B33" s="255"/>
      <c r="C33" s="391"/>
      <c r="D33" s="246"/>
      <c r="E33" s="108"/>
      <c r="F33" s="108"/>
      <c r="G33" s="246"/>
      <c r="H33" s="246"/>
      <c r="I33" s="246"/>
      <c r="J33" s="246"/>
      <c r="K33" s="246"/>
      <c r="L33" s="107"/>
      <c r="M33" s="109"/>
      <c r="N33" s="246"/>
      <c r="O33" s="246"/>
      <c r="P33" s="246"/>
      <c r="Q33" s="252"/>
      <c r="R33" s="246"/>
      <c r="S33" s="108"/>
      <c r="T33" s="113"/>
      <c r="U33" s="246"/>
      <c r="V33" s="247"/>
      <c r="W33" s="246"/>
      <c r="X33" s="252"/>
      <c r="Y33" s="246"/>
      <c r="Z33" s="108"/>
      <c r="AA33" s="113"/>
      <c r="AB33" s="246"/>
      <c r="AC33" s="252"/>
      <c r="AD33" s="246"/>
      <c r="AE33" s="252"/>
      <c r="AF33" s="357">
        <f t="shared" si="4"/>
        <v>0</v>
      </c>
      <c r="AG33" s="477"/>
    </row>
    <row r="34" spans="1:59" ht="39" thickBot="1">
      <c r="A34" s="146" t="s">
        <v>38</v>
      </c>
      <c r="B34" s="255"/>
      <c r="C34" s="391"/>
      <c r="D34" s="246"/>
      <c r="E34" s="108"/>
      <c r="F34" s="108"/>
      <c r="G34" s="246"/>
      <c r="H34" s="246"/>
      <c r="I34" s="246"/>
      <c r="J34" s="246"/>
      <c r="K34" s="246"/>
      <c r="L34" s="107"/>
      <c r="M34" s="109"/>
      <c r="N34" s="246"/>
      <c r="O34" s="246"/>
      <c r="P34" s="246"/>
      <c r="Q34" s="252"/>
      <c r="R34" s="246"/>
      <c r="S34" s="108"/>
      <c r="T34" s="113"/>
      <c r="U34" s="246"/>
      <c r="V34" s="247"/>
      <c r="W34" s="246"/>
      <c r="X34" s="252"/>
      <c r="Y34" s="246"/>
      <c r="Z34" s="108"/>
      <c r="AA34" s="113"/>
      <c r="AB34" s="246"/>
      <c r="AC34" s="252"/>
      <c r="AD34" s="246"/>
      <c r="AE34" s="252"/>
      <c r="AF34" s="216">
        <f t="shared" si="4"/>
        <v>0</v>
      </c>
      <c r="AG34" s="484"/>
      <c r="AH34" s="2"/>
    </row>
    <row r="35" spans="1:59" ht="34.15" customHeight="1" thickBot="1">
      <c r="A35" s="187" t="s">
        <v>39</v>
      </c>
      <c r="B35" s="226"/>
      <c r="C35" s="388"/>
      <c r="D35" s="227"/>
      <c r="E35" s="133"/>
      <c r="F35" s="133"/>
      <c r="G35" s="227"/>
      <c r="H35" s="227"/>
      <c r="I35" s="227"/>
      <c r="J35" s="227"/>
      <c r="K35" s="227"/>
      <c r="L35" s="135"/>
      <c r="M35" s="136"/>
      <c r="N35" s="227"/>
      <c r="O35" s="227"/>
      <c r="P35" s="227"/>
      <c r="Q35" s="229"/>
      <c r="R35" s="227"/>
      <c r="S35" s="133"/>
      <c r="T35" s="134"/>
      <c r="U35" s="227"/>
      <c r="V35" s="230"/>
      <c r="W35" s="227"/>
      <c r="X35" s="229"/>
      <c r="Y35" s="227"/>
      <c r="Z35" s="133"/>
      <c r="AA35" s="134"/>
      <c r="AB35" s="227"/>
      <c r="AC35" s="229"/>
      <c r="AD35" s="227"/>
      <c r="AE35" s="229"/>
      <c r="AF35" s="184" cm="1">
        <f t="array" ref="AF35">SUMPRODUCT(--(RIGHT(B33:AE33,1)="S"))</f>
        <v>0</v>
      </c>
      <c r="AG35" s="478"/>
    </row>
    <row r="36" spans="1:59" ht="28.9" thickBot="1">
      <c r="A36" s="146"/>
      <c r="B36" s="255"/>
      <c r="C36" s="246"/>
      <c r="D36" s="246"/>
      <c r="E36" s="108"/>
      <c r="F36" s="108"/>
      <c r="G36" s="246"/>
      <c r="H36" s="246"/>
      <c r="I36" s="246"/>
      <c r="J36" s="246"/>
      <c r="K36" s="246"/>
      <c r="L36" s="107"/>
      <c r="M36" s="109"/>
      <c r="N36" s="246"/>
      <c r="O36" s="246"/>
      <c r="P36" s="246"/>
      <c r="Q36" s="252"/>
      <c r="R36" s="246"/>
      <c r="S36" s="108"/>
      <c r="T36" s="113"/>
      <c r="U36" s="246"/>
      <c r="V36" s="247"/>
      <c r="W36" s="246"/>
      <c r="X36" s="252"/>
      <c r="Y36" s="246"/>
      <c r="Z36" s="108"/>
      <c r="AA36" s="113"/>
      <c r="AB36" s="246"/>
      <c r="AC36" s="252"/>
      <c r="AD36" s="246"/>
      <c r="AE36" s="252"/>
      <c r="AF36" s="357">
        <f>SUM(B36:AE36)</f>
        <v>0</v>
      </c>
      <c r="AG36" s="477"/>
    </row>
    <row r="37" spans="1:59" ht="28.9" thickBot="1">
      <c r="A37" s="146"/>
      <c r="B37" s="255"/>
      <c r="C37" s="246"/>
      <c r="D37" s="246"/>
      <c r="E37" s="108"/>
      <c r="F37" s="108"/>
      <c r="G37" s="246"/>
      <c r="H37" s="246"/>
      <c r="I37" s="246"/>
      <c r="J37" s="246"/>
      <c r="K37" s="246"/>
      <c r="L37" s="107"/>
      <c r="M37" s="109"/>
      <c r="N37" s="246"/>
      <c r="O37" s="246"/>
      <c r="P37" s="246"/>
      <c r="Q37" s="252"/>
      <c r="R37" s="246"/>
      <c r="S37" s="108"/>
      <c r="T37" s="113"/>
      <c r="U37" s="246"/>
      <c r="V37" s="247"/>
      <c r="W37" s="246"/>
      <c r="X37" s="252"/>
      <c r="Y37" s="246"/>
      <c r="Z37" s="108"/>
      <c r="AA37" s="113"/>
      <c r="AB37" s="246"/>
      <c r="AC37" s="252"/>
      <c r="AD37" s="246"/>
      <c r="AE37" s="252"/>
      <c r="AF37" s="216">
        <f t="shared" ref="AF37" si="5">SUM(B37:AE37)</f>
        <v>0</v>
      </c>
      <c r="AG37" s="484"/>
    </row>
    <row r="38" spans="1:59" ht="28.9" thickBot="1">
      <c r="A38" s="187"/>
      <c r="B38" s="259"/>
      <c r="C38" s="232"/>
      <c r="D38" s="232"/>
      <c r="E38" s="137"/>
      <c r="F38" s="137"/>
      <c r="G38" s="232"/>
      <c r="H38" s="232"/>
      <c r="I38" s="232"/>
      <c r="J38" s="232"/>
      <c r="K38" s="232"/>
      <c r="L38" s="149"/>
      <c r="M38" s="138"/>
      <c r="N38" s="232"/>
      <c r="O38" s="232"/>
      <c r="P38" s="232"/>
      <c r="Q38" s="233"/>
      <c r="R38" s="232"/>
      <c r="S38" s="137"/>
      <c r="T38" s="139"/>
      <c r="U38" s="232"/>
      <c r="V38" s="231"/>
      <c r="W38" s="232"/>
      <c r="X38" s="233"/>
      <c r="Y38" s="232"/>
      <c r="Z38" s="137"/>
      <c r="AA38" s="139"/>
      <c r="AB38" s="232"/>
      <c r="AC38" s="233"/>
      <c r="AD38" s="232"/>
      <c r="AE38" s="233"/>
      <c r="AF38" s="184" cm="1">
        <f t="array" ref="AF38">SUMPRODUCT(--(RIGHT(B36:AE36,1)="S"))</f>
        <v>0</v>
      </c>
      <c r="AG38" s="478"/>
    </row>
    <row r="39" spans="1:59" ht="28.9" thickBot="1">
      <c r="A39" s="173"/>
      <c r="B39" s="266"/>
      <c r="C39" s="222"/>
      <c r="D39" s="222"/>
      <c r="E39" s="105"/>
      <c r="F39" s="105"/>
      <c r="G39" s="222"/>
      <c r="H39" s="222"/>
      <c r="I39" s="222"/>
      <c r="J39" s="222"/>
      <c r="K39" s="222"/>
      <c r="L39" s="111"/>
      <c r="M39" s="106"/>
      <c r="N39" s="222"/>
      <c r="O39" s="222"/>
      <c r="P39" s="222"/>
      <c r="Q39" s="254"/>
      <c r="R39" s="222"/>
      <c r="S39" s="105"/>
      <c r="T39" s="112"/>
      <c r="U39" s="222"/>
      <c r="V39" s="256"/>
      <c r="W39" s="222"/>
      <c r="X39" s="254"/>
      <c r="Y39" s="222"/>
      <c r="Z39" s="105"/>
      <c r="AA39" s="112"/>
      <c r="AB39" s="222"/>
      <c r="AC39" s="254"/>
      <c r="AD39" s="222"/>
      <c r="AE39" s="254"/>
      <c r="AF39" s="357">
        <f>SUM(B39:AE39)</f>
        <v>0</v>
      </c>
      <c r="AG39" s="545"/>
    </row>
    <row r="40" spans="1:59" ht="29.45" thickBot="1">
      <c r="A40" s="146"/>
      <c r="B40" s="255"/>
      <c r="C40" s="246"/>
      <c r="D40" s="246"/>
      <c r="E40" s="108"/>
      <c r="F40" s="108"/>
      <c r="G40" s="246"/>
      <c r="H40" s="246"/>
      <c r="I40" s="246"/>
      <c r="J40" s="246"/>
      <c r="K40" s="246"/>
      <c r="L40" s="107"/>
      <c r="M40" s="109"/>
      <c r="N40" s="246"/>
      <c r="O40" s="246"/>
      <c r="P40" s="246"/>
      <c r="Q40" s="252"/>
      <c r="R40" s="246"/>
      <c r="S40" s="108"/>
      <c r="T40" s="113"/>
      <c r="U40" s="246"/>
      <c r="V40" s="246"/>
      <c r="W40" s="246"/>
      <c r="X40" s="252"/>
      <c r="Y40" s="246"/>
      <c r="Z40" s="108"/>
      <c r="AA40" s="108"/>
      <c r="AB40" s="246"/>
      <c r="AC40" s="252"/>
      <c r="AD40" s="246"/>
      <c r="AE40" s="252"/>
      <c r="AF40" s="216">
        <f t="shared" ref="AF40" si="6">SUM(B40:AE40)</f>
        <v>0</v>
      </c>
      <c r="AG40" s="546"/>
      <c r="AX40" s="7"/>
      <c r="AY40" s="7"/>
      <c r="AZ40" s="7"/>
      <c r="BA40" s="7"/>
      <c r="BB40" s="151"/>
      <c r="BC40" s="7"/>
      <c r="BD40" s="7"/>
      <c r="BE40" s="7"/>
      <c r="BF40" s="36"/>
      <c r="BG40" s="6"/>
    </row>
    <row r="41" spans="1:59" ht="28.9" customHeight="1" thickBot="1">
      <c r="A41" s="190"/>
      <c r="B41" s="226"/>
      <c r="C41" s="227"/>
      <c r="D41" s="227"/>
      <c r="E41" s="133"/>
      <c r="F41" s="133"/>
      <c r="G41" s="227"/>
      <c r="H41" s="227"/>
      <c r="I41" s="227"/>
      <c r="J41" s="227"/>
      <c r="K41" s="227"/>
      <c r="L41" s="135"/>
      <c r="M41" s="136"/>
      <c r="N41" s="227"/>
      <c r="O41" s="227"/>
      <c r="P41" s="227"/>
      <c r="Q41" s="229"/>
      <c r="R41" s="227"/>
      <c r="S41" s="133"/>
      <c r="T41" s="134"/>
      <c r="U41" s="227"/>
      <c r="V41" s="230"/>
      <c r="W41" s="227"/>
      <c r="X41" s="229"/>
      <c r="Y41" s="227"/>
      <c r="Z41" s="133"/>
      <c r="AA41" s="134"/>
      <c r="AB41" s="227"/>
      <c r="AC41" s="229"/>
      <c r="AD41" s="227"/>
      <c r="AE41" s="229"/>
      <c r="AF41" s="184" cm="1">
        <f t="array" ref="AF41">SUMPRODUCT(--(RIGHT(B39:AE39,1)="S"))</f>
        <v>0</v>
      </c>
      <c r="AG41" s="547"/>
      <c r="AX41" s="151"/>
      <c r="AY41" s="151"/>
      <c r="AZ41" s="151"/>
      <c r="BA41" s="151"/>
      <c r="BB41" s="151"/>
      <c r="BC41" s="151"/>
      <c r="BD41" s="151"/>
      <c r="BE41" s="151"/>
      <c r="BF41" s="153"/>
      <c r="BG41" s="131"/>
    </row>
    <row r="42" spans="1:59" ht="29.45" thickBot="1">
      <c r="A42" s="146"/>
      <c r="B42" s="255"/>
      <c r="C42" s="246"/>
      <c r="D42" s="246"/>
      <c r="E42" s="108"/>
      <c r="F42" s="108"/>
      <c r="G42" s="246"/>
      <c r="H42" s="246"/>
      <c r="I42" s="246"/>
      <c r="J42" s="246"/>
      <c r="K42" s="246"/>
      <c r="L42" s="107"/>
      <c r="M42" s="109"/>
      <c r="N42" s="246"/>
      <c r="O42" s="246"/>
      <c r="P42" s="246"/>
      <c r="Q42" s="252"/>
      <c r="R42" s="246"/>
      <c r="S42" s="108"/>
      <c r="T42" s="113"/>
      <c r="U42" s="246"/>
      <c r="V42" s="247"/>
      <c r="W42" s="246"/>
      <c r="X42" s="252"/>
      <c r="Y42" s="246"/>
      <c r="Z42" s="108"/>
      <c r="AA42" s="113"/>
      <c r="AB42" s="246"/>
      <c r="AC42" s="252"/>
      <c r="AD42" s="246"/>
      <c r="AE42" s="252"/>
      <c r="AF42" s="357">
        <f>SUM(B42:AE42)</f>
        <v>0</v>
      </c>
      <c r="AG42" s="546"/>
      <c r="AX42" s="154"/>
      <c r="AY42" s="151"/>
      <c r="AZ42" s="151"/>
      <c r="BA42" s="151"/>
      <c r="BB42" s="151"/>
      <c r="BC42" s="151"/>
      <c r="BD42" s="151"/>
      <c r="BE42" s="151"/>
      <c r="BF42" s="153"/>
      <c r="BG42" s="131"/>
    </row>
    <row r="43" spans="1:59" ht="29.45" thickBot="1">
      <c r="A43" s="146"/>
      <c r="B43" s="255"/>
      <c r="C43" s="246"/>
      <c r="D43" s="246"/>
      <c r="E43" s="108"/>
      <c r="F43" s="108"/>
      <c r="G43" s="246"/>
      <c r="H43" s="246"/>
      <c r="I43" s="246"/>
      <c r="J43" s="246"/>
      <c r="K43" s="246"/>
      <c r="L43" s="107"/>
      <c r="M43" s="109"/>
      <c r="N43" s="246"/>
      <c r="O43" s="246"/>
      <c r="P43" s="246"/>
      <c r="Q43" s="252"/>
      <c r="R43" s="246"/>
      <c r="S43" s="108"/>
      <c r="T43" s="113"/>
      <c r="U43" s="246"/>
      <c r="V43" s="247"/>
      <c r="W43" s="246"/>
      <c r="X43" s="252"/>
      <c r="Y43" s="246"/>
      <c r="Z43" s="108"/>
      <c r="AA43" s="113"/>
      <c r="AB43" s="246"/>
      <c r="AC43" s="252"/>
      <c r="AD43" s="246"/>
      <c r="AE43" s="252"/>
      <c r="AF43" s="216">
        <f t="shared" ref="AF43" si="7">SUM(B43:AE43)</f>
        <v>0</v>
      </c>
      <c r="AG43" s="548"/>
      <c r="AX43" s="153"/>
      <c r="AY43" s="131"/>
      <c r="AZ43" s="153"/>
      <c r="BA43" s="131"/>
      <c r="BB43" s="131"/>
      <c r="BC43" s="131"/>
      <c r="BD43" s="131"/>
      <c r="BE43" s="131"/>
      <c r="BF43" s="131"/>
      <c r="BG43" s="153"/>
    </row>
    <row r="44" spans="1:59" ht="29.45" thickBot="1">
      <c r="A44" s="189"/>
      <c r="B44" s="259"/>
      <c r="C44" s="232"/>
      <c r="D44" s="232"/>
      <c r="E44" s="137"/>
      <c r="F44" s="137"/>
      <c r="G44" s="232"/>
      <c r="H44" s="232"/>
      <c r="I44" s="232"/>
      <c r="J44" s="232"/>
      <c r="K44" s="232"/>
      <c r="L44" s="149"/>
      <c r="M44" s="138"/>
      <c r="N44" s="232"/>
      <c r="O44" s="232"/>
      <c r="P44" s="232"/>
      <c r="Q44" s="233"/>
      <c r="R44" s="232"/>
      <c r="S44" s="137"/>
      <c r="T44" s="139"/>
      <c r="U44" s="232"/>
      <c r="V44" s="231"/>
      <c r="W44" s="232"/>
      <c r="X44" s="233"/>
      <c r="Y44" s="232"/>
      <c r="Z44" s="137"/>
      <c r="AA44" s="139"/>
      <c r="AB44" s="232"/>
      <c r="AC44" s="233"/>
      <c r="AD44" s="232"/>
      <c r="AE44" s="233"/>
      <c r="AF44" s="184" cm="1">
        <f t="array" ref="AF44">SUMPRODUCT(--(RIGHT(B42:AE42,1)="S"))</f>
        <v>0</v>
      </c>
      <c r="AG44" s="547"/>
      <c r="AX44" s="153"/>
      <c r="AY44" s="131"/>
      <c r="AZ44" s="153"/>
      <c r="BA44" s="131"/>
      <c r="BB44" s="131"/>
      <c r="BC44" s="131"/>
      <c r="BD44" s="131"/>
      <c r="BE44" s="131"/>
      <c r="BF44" s="131"/>
      <c r="BG44" s="153"/>
    </row>
    <row r="45" spans="1:59" ht="29.45" thickBot="1">
      <c r="A45" s="173"/>
      <c r="B45" s="266"/>
      <c r="C45" s="222"/>
      <c r="D45" s="222"/>
      <c r="E45" s="105"/>
      <c r="F45" s="105"/>
      <c r="G45" s="222"/>
      <c r="H45" s="222"/>
      <c r="I45" s="222"/>
      <c r="J45" s="222"/>
      <c r="K45" s="222"/>
      <c r="L45" s="111"/>
      <c r="M45" s="106"/>
      <c r="N45" s="222"/>
      <c r="O45" s="222"/>
      <c r="P45" s="222"/>
      <c r="Q45" s="254"/>
      <c r="R45" s="222"/>
      <c r="S45" s="105"/>
      <c r="T45" s="112"/>
      <c r="U45" s="222"/>
      <c r="V45" s="256"/>
      <c r="W45" s="222"/>
      <c r="X45" s="254"/>
      <c r="Y45" s="222"/>
      <c r="Z45" s="105"/>
      <c r="AA45" s="112"/>
      <c r="AB45" s="222"/>
      <c r="AC45" s="254"/>
      <c r="AD45" s="222"/>
      <c r="AE45" s="254"/>
      <c r="AF45" s="357">
        <f>SUM(B45:AE45)</f>
        <v>0</v>
      </c>
      <c r="AG45" s="547"/>
      <c r="AX45" s="153"/>
      <c r="AY45" s="131"/>
      <c r="AZ45" s="153"/>
      <c r="BA45" s="131"/>
      <c r="BB45" s="131"/>
      <c r="BC45" s="131"/>
      <c r="BD45" s="131"/>
      <c r="BE45" s="131"/>
      <c r="BF45" s="153"/>
      <c r="BG45" s="131"/>
    </row>
    <row r="46" spans="1:59" ht="29.45" thickBot="1">
      <c r="A46" s="146"/>
      <c r="B46" s="255"/>
      <c r="C46" s="246"/>
      <c r="D46" s="246"/>
      <c r="E46" s="108"/>
      <c r="F46" s="108"/>
      <c r="G46" s="246"/>
      <c r="H46" s="246"/>
      <c r="I46" s="246"/>
      <c r="J46" s="246"/>
      <c r="K46" s="246"/>
      <c r="L46" s="107"/>
      <c r="M46" s="109"/>
      <c r="N46" s="246"/>
      <c r="O46" s="246"/>
      <c r="P46" s="246"/>
      <c r="Q46" s="252"/>
      <c r="R46" s="246"/>
      <c r="S46" s="108"/>
      <c r="T46" s="113"/>
      <c r="U46" s="246"/>
      <c r="V46" s="246"/>
      <c r="W46" s="246"/>
      <c r="X46" s="252"/>
      <c r="Y46" s="246"/>
      <c r="Z46" s="108"/>
      <c r="AA46" s="108"/>
      <c r="AB46" s="246"/>
      <c r="AC46" s="252"/>
      <c r="AD46" s="246"/>
      <c r="AE46" s="252"/>
      <c r="AF46" s="216">
        <f t="shared" ref="AF46" si="8">SUM(B46:AE46)</f>
        <v>0</v>
      </c>
      <c r="AG46" s="546"/>
      <c r="AX46" s="153"/>
      <c r="AY46" s="131"/>
      <c r="AZ46" s="153"/>
      <c r="BA46" s="131"/>
      <c r="BB46" s="131"/>
      <c r="BC46" s="131"/>
      <c r="BD46" s="131"/>
      <c r="BE46" s="131"/>
      <c r="BF46" s="131"/>
      <c r="BG46" s="131"/>
    </row>
    <row r="47" spans="1:59" ht="29.45" thickBot="1">
      <c r="A47" s="190"/>
      <c r="B47" s="226"/>
      <c r="C47" s="227"/>
      <c r="D47" s="227"/>
      <c r="E47" s="133"/>
      <c r="F47" s="133"/>
      <c r="G47" s="227"/>
      <c r="H47" s="227"/>
      <c r="I47" s="227"/>
      <c r="J47" s="227"/>
      <c r="K47" s="227"/>
      <c r="L47" s="135"/>
      <c r="M47" s="136"/>
      <c r="N47" s="227"/>
      <c r="O47" s="227"/>
      <c r="P47" s="227"/>
      <c r="Q47" s="229"/>
      <c r="R47" s="227"/>
      <c r="S47" s="133"/>
      <c r="T47" s="134"/>
      <c r="U47" s="227"/>
      <c r="V47" s="230"/>
      <c r="W47" s="227"/>
      <c r="X47" s="229"/>
      <c r="Y47" s="227"/>
      <c r="Z47" s="133"/>
      <c r="AA47" s="134"/>
      <c r="AB47" s="227"/>
      <c r="AC47" s="229"/>
      <c r="AD47" s="227"/>
      <c r="AE47" s="229"/>
      <c r="AF47" s="184" cm="1">
        <f t="array" ref="AF47">SUMPRODUCT(--(RIGHT(B45:AE45,1)="S"))</f>
        <v>0</v>
      </c>
      <c r="AG47" s="547"/>
      <c r="AX47" s="153"/>
      <c r="AY47" s="131"/>
      <c r="AZ47" s="153"/>
      <c r="BA47" s="131"/>
      <c r="BB47" s="131"/>
      <c r="BC47" s="131"/>
      <c r="BD47" s="131"/>
      <c r="BE47" s="131"/>
      <c r="BF47" s="131"/>
      <c r="BG47" s="131"/>
    </row>
    <row r="48" spans="1:59" ht="29.45" hidden="1" thickBot="1">
      <c r="A48" s="146"/>
      <c r="B48" s="255"/>
      <c r="C48" s="246"/>
      <c r="D48" s="246"/>
      <c r="E48" s="108"/>
      <c r="F48" s="108"/>
      <c r="G48" s="246"/>
      <c r="H48" s="246"/>
      <c r="I48" s="246"/>
      <c r="J48" s="246"/>
      <c r="K48" s="246"/>
      <c r="L48" s="107"/>
      <c r="M48" s="109"/>
      <c r="N48" s="246"/>
      <c r="O48" s="246"/>
      <c r="P48" s="246"/>
      <c r="Q48" s="252"/>
      <c r="R48" s="246"/>
      <c r="S48" s="108"/>
      <c r="T48" s="113"/>
      <c r="U48" s="246"/>
      <c r="V48" s="247"/>
      <c r="W48" s="246"/>
      <c r="X48" s="252"/>
      <c r="Y48" s="246"/>
      <c r="Z48" s="108"/>
      <c r="AA48" s="113"/>
      <c r="AB48" s="246"/>
      <c r="AC48" s="252"/>
      <c r="AD48" s="246"/>
      <c r="AE48" s="252"/>
      <c r="AF48" s="357">
        <f>SUM(B48:AE48)</f>
        <v>0</v>
      </c>
      <c r="AX48" s="153"/>
      <c r="AY48" s="131"/>
      <c r="AZ48" s="153"/>
      <c r="BA48" s="131"/>
      <c r="BB48" s="131"/>
      <c r="BC48" s="131"/>
      <c r="BD48" s="131"/>
      <c r="BE48" s="131"/>
      <c r="BF48" s="131"/>
      <c r="BG48" s="131"/>
    </row>
    <row r="49" spans="1:59" ht="29.45" hidden="1" thickBot="1">
      <c r="A49" s="146"/>
      <c r="B49" s="255"/>
      <c r="C49" s="246"/>
      <c r="D49" s="246"/>
      <c r="E49" s="108"/>
      <c r="F49" s="108"/>
      <c r="G49" s="246"/>
      <c r="H49" s="246"/>
      <c r="I49" s="246"/>
      <c r="J49" s="246"/>
      <c r="K49" s="246"/>
      <c r="L49" s="107"/>
      <c r="M49" s="109"/>
      <c r="N49" s="246"/>
      <c r="O49" s="246"/>
      <c r="P49" s="246"/>
      <c r="Q49" s="252"/>
      <c r="R49" s="246"/>
      <c r="S49" s="108"/>
      <c r="T49" s="113"/>
      <c r="U49" s="246"/>
      <c r="V49" s="247"/>
      <c r="W49" s="246"/>
      <c r="X49" s="252"/>
      <c r="Y49" s="246"/>
      <c r="Z49" s="108"/>
      <c r="AA49" s="113"/>
      <c r="AB49" s="246"/>
      <c r="AC49" s="252"/>
      <c r="AD49" s="246"/>
      <c r="AE49" s="252"/>
      <c r="AF49" s="216">
        <f t="shared" ref="AF49" si="9">SUM(B49:AE49)</f>
        <v>0</v>
      </c>
      <c r="AX49" s="101"/>
      <c r="AY49" s="101"/>
      <c r="AZ49" s="6"/>
      <c r="BA49" s="6"/>
      <c r="BB49" s="6"/>
      <c r="BC49" s="6"/>
      <c r="BD49" s="6"/>
      <c r="BE49" s="6"/>
      <c r="BF49" s="6"/>
    </row>
    <row r="50" spans="1:59" ht="29.45" hidden="1" thickBot="1">
      <c r="A50" s="189"/>
      <c r="B50" s="259"/>
      <c r="C50" s="232"/>
      <c r="D50" s="232"/>
      <c r="E50" s="137"/>
      <c r="F50" s="137"/>
      <c r="G50" s="232"/>
      <c r="H50" s="232"/>
      <c r="I50" s="232"/>
      <c r="J50" s="232"/>
      <c r="K50" s="232"/>
      <c r="L50" s="149"/>
      <c r="M50" s="138"/>
      <c r="N50" s="232"/>
      <c r="O50" s="232"/>
      <c r="P50" s="232"/>
      <c r="Q50" s="233"/>
      <c r="R50" s="232"/>
      <c r="S50" s="137"/>
      <c r="T50" s="139"/>
      <c r="U50" s="232"/>
      <c r="V50" s="231"/>
      <c r="W50" s="232"/>
      <c r="X50" s="233"/>
      <c r="Y50" s="232"/>
      <c r="Z50" s="137"/>
      <c r="AA50" s="139"/>
      <c r="AB50" s="232"/>
      <c r="AC50" s="233"/>
      <c r="AD50" s="232"/>
      <c r="AE50" s="233"/>
      <c r="AF50" s="184">
        <f>SUM(B50:AE50)</f>
        <v>0</v>
      </c>
      <c r="AX50" s="101"/>
      <c r="AY50" s="101"/>
      <c r="AZ50" s="6"/>
      <c r="BA50" s="6"/>
      <c r="BB50" s="6"/>
      <c r="BC50" s="6"/>
      <c r="BD50" s="6"/>
      <c r="BE50" s="6"/>
      <c r="BF50" s="6"/>
      <c r="BG50" s="6"/>
    </row>
    <row r="51" spans="1:59" ht="28.9" hidden="1" thickBot="1">
      <c r="A51" s="173"/>
      <c r="B51" s="266"/>
      <c r="C51" s="222"/>
      <c r="D51" s="222"/>
      <c r="E51" s="105"/>
      <c r="F51" s="105"/>
      <c r="G51" s="222"/>
      <c r="H51" s="222"/>
      <c r="I51" s="222"/>
      <c r="J51" s="222"/>
      <c r="K51" s="222"/>
      <c r="L51" s="111"/>
      <c r="M51" s="106"/>
      <c r="N51" s="222"/>
      <c r="O51" s="222"/>
      <c r="P51" s="222"/>
      <c r="Q51" s="254"/>
      <c r="R51" s="222"/>
      <c r="S51" s="105"/>
      <c r="T51" s="112"/>
      <c r="U51" s="222"/>
      <c r="V51" s="256"/>
      <c r="W51" s="222"/>
      <c r="X51" s="254"/>
      <c r="Y51" s="222"/>
      <c r="Z51" s="105"/>
      <c r="AA51" s="112"/>
      <c r="AB51" s="222"/>
      <c r="AC51" s="254"/>
      <c r="AD51" s="222"/>
      <c r="AE51" s="254"/>
      <c r="AF51" s="357">
        <f>SUM(B51:AE51)</f>
        <v>0</v>
      </c>
    </row>
    <row r="52" spans="1:59" ht="28.9" hidden="1" thickBot="1">
      <c r="A52" s="146"/>
      <c r="B52" s="255"/>
      <c r="C52" s="246"/>
      <c r="D52" s="246"/>
      <c r="E52" s="108"/>
      <c r="F52" s="108"/>
      <c r="G52" s="246"/>
      <c r="H52" s="246"/>
      <c r="I52" s="246"/>
      <c r="J52" s="246"/>
      <c r="K52" s="246"/>
      <c r="L52" s="107"/>
      <c r="M52" s="109"/>
      <c r="N52" s="246"/>
      <c r="O52" s="246"/>
      <c r="P52" s="246"/>
      <c r="Q52" s="252"/>
      <c r="R52" s="246"/>
      <c r="S52" s="108"/>
      <c r="T52" s="113"/>
      <c r="U52" s="246"/>
      <c r="V52" s="246"/>
      <c r="W52" s="246"/>
      <c r="X52" s="252"/>
      <c r="Y52" s="246"/>
      <c r="Z52" s="108"/>
      <c r="AA52" s="108"/>
      <c r="AB52" s="246"/>
      <c r="AC52" s="252"/>
      <c r="AD52" s="246"/>
      <c r="AE52" s="252"/>
      <c r="AF52" s="216">
        <f t="shared" ref="AF52" si="10">SUM(B52:AE52)</f>
        <v>0</v>
      </c>
    </row>
    <row r="53" spans="1:59" ht="28.9" hidden="1" thickBot="1">
      <c r="A53" s="190"/>
      <c r="B53" s="226"/>
      <c r="C53" s="227"/>
      <c r="D53" s="227"/>
      <c r="E53" s="133"/>
      <c r="F53" s="133"/>
      <c r="G53" s="227"/>
      <c r="H53" s="227"/>
      <c r="I53" s="227"/>
      <c r="J53" s="227"/>
      <c r="K53" s="227"/>
      <c r="L53" s="135"/>
      <c r="M53" s="136"/>
      <c r="N53" s="227"/>
      <c r="O53" s="227"/>
      <c r="P53" s="227"/>
      <c r="Q53" s="229"/>
      <c r="R53" s="227"/>
      <c r="S53" s="133"/>
      <c r="T53" s="134"/>
      <c r="U53" s="227"/>
      <c r="V53" s="230"/>
      <c r="W53" s="227"/>
      <c r="X53" s="229"/>
      <c r="Y53" s="227"/>
      <c r="Z53" s="133"/>
      <c r="AA53" s="134"/>
      <c r="AB53" s="227"/>
      <c r="AC53" s="229"/>
      <c r="AD53" s="227"/>
      <c r="AE53" s="229"/>
      <c r="AF53" s="184">
        <f>SUM(B53:AE53)</f>
        <v>0</v>
      </c>
    </row>
    <row r="54" spans="1:59" ht="28.9" hidden="1" thickBot="1">
      <c r="A54" s="146"/>
      <c r="B54" s="255"/>
      <c r="C54" s="246"/>
      <c r="D54" s="246"/>
      <c r="E54" s="108"/>
      <c r="F54" s="108"/>
      <c r="G54" s="246"/>
      <c r="H54" s="246"/>
      <c r="I54" s="246"/>
      <c r="J54" s="246"/>
      <c r="K54" s="246"/>
      <c r="L54" s="107"/>
      <c r="M54" s="109"/>
      <c r="N54" s="246"/>
      <c r="O54" s="246"/>
      <c r="P54" s="246"/>
      <c r="Q54" s="252"/>
      <c r="R54" s="246"/>
      <c r="S54" s="108"/>
      <c r="T54" s="113"/>
      <c r="U54" s="246"/>
      <c r="V54" s="247"/>
      <c r="W54" s="246"/>
      <c r="X54" s="252"/>
      <c r="Y54" s="246"/>
      <c r="Z54" s="108"/>
      <c r="AA54" s="113"/>
      <c r="AB54" s="246"/>
      <c r="AC54" s="252"/>
      <c r="AD54" s="246"/>
      <c r="AE54" s="252"/>
      <c r="AF54" s="357">
        <f>SUM(B54:AE54)</f>
        <v>0</v>
      </c>
    </row>
    <row r="55" spans="1:59" ht="28.9" hidden="1" thickBot="1">
      <c r="A55" s="146"/>
      <c r="B55" s="255"/>
      <c r="C55" s="246"/>
      <c r="D55" s="246"/>
      <c r="E55" s="108"/>
      <c r="F55" s="108"/>
      <c r="G55" s="246"/>
      <c r="H55" s="246"/>
      <c r="I55" s="246"/>
      <c r="J55" s="246"/>
      <c r="K55" s="246"/>
      <c r="L55" s="107"/>
      <c r="M55" s="109"/>
      <c r="N55" s="246"/>
      <c r="O55" s="246"/>
      <c r="P55" s="246"/>
      <c r="Q55" s="252"/>
      <c r="R55" s="246"/>
      <c r="S55" s="108"/>
      <c r="T55" s="113"/>
      <c r="U55" s="246"/>
      <c r="V55" s="247"/>
      <c r="W55" s="246"/>
      <c r="X55" s="252"/>
      <c r="Y55" s="246"/>
      <c r="Z55" s="108"/>
      <c r="AA55" s="113"/>
      <c r="AB55" s="246"/>
      <c r="AC55" s="252"/>
      <c r="AD55" s="246"/>
      <c r="AE55" s="252"/>
      <c r="AF55" s="216">
        <f t="shared" ref="AF55" si="11">SUM(B55:AE55)</f>
        <v>0</v>
      </c>
    </row>
    <row r="56" spans="1:59" ht="28.9" hidden="1" thickBot="1">
      <c r="A56" s="189"/>
      <c r="B56" s="259"/>
      <c r="C56" s="232"/>
      <c r="D56" s="232"/>
      <c r="E56" s="137"/>
      <c r="F56" s="137"/>
      <c r="G56" s="232"/>
      <c r="H56" s="232"/>
      <c r="I56" s="232"/>
      <c r="J56" s="232"/>
      <c r="K56" s="232"/>
      <c r="L56" s="149"/>
      <c r="M56" s="138"/>
      <c r="N56" s="232"/>
      <c r="O56" s="232"/>
      <c r="P56" s="232"/>
      <c r="Q56" s="233"/>
      <c r="R56" s="232"/>
      <c r="S56" s="137"/>
      <c r="T56" s="139"/>
      <c r="U56" s="232"/>
      <c r="V56" s="231"/>
      <c r="W56" s="232"/>
      <c r="X56" s="233"/>
      <c r="Y56" s="232"/>
      <c r="Z56" s="137"/>
      <c r="AA56" s="139"/>
      <c r="AB56" s="232"/>
      <c r="AC56" s="233"/>
      <c r="AD56" s="232"/>
      <c r="AE56" s="233"/>
      <c r="AF56" s="184">
        <f>SUM(B56:AE56)</f>
        <v>0</v>
      </c>
    </row>
    <row r="57" spans="1:59" ht="28.9" hidden="1" thickBot="1">
      <c r="A57" s="173"/>
      <c r="B57" s="266"/>
      <c r="C57" s="222"/>
      <c r="D57" s="222"/>
      <c r="E57" s="105"/>
      <c r="F57" s="105"/>
      <c r="G57" s="222"/>
      <c r="H57" s="222"/>
      <c r="I57" s="222"/>
      <c r="J57" s="222"/>
      <c r="K57" s="222"/>
      <c r="L57" s="111"/>
      <c r="M57" s="106"/>
      <c r="N57" s="222"/>
      <c r="O57" s="222"/>
      <c r="P57" s="222"/>
      <c r="Q57" s="254"/>
      <c r="R57" s="222"/>
      <c r="S57" s="105"/>
      <c r="T57" s="112"/>
      <c r="U57" s="222"/>
      <c r="V57" s="256"/>
      <c r="W57" s="222"/>
      <c r="X57" s="254"/>
      <c r="Y57" s="222"/>
      <c r="Z57" s="105"/>
      <c r="AA57" s="112"/>
      <c r="AB57" s="222"/>
      <c r="AC57" s="254"/>
      <c r="AD57" s="222"/>
      <c r="AE57" s="254"/>
      <c r="AF57" s="357">
        <f>SUM(B57:AE57)</f>
        <v>0</v>
      </c>
    </row>
    <row r="58" spans="1:59" ht="28.9" hidden="1" thickBot="1">
      <c r="A58" s="146"/>
      <c r="B58" s="255"/>
      <c r="C58" s="246"/>
      <c r="D58" s="246"/>
      <c r="E58" s="108"/>
      <c r="F58" s="108"/>
      <c r="G58" s="246"/>
      <c r="H58" s="246"/>
      <c r="I58" s="246"/>
      <c r="J58" s="246"/>
      <c r="K58" s="246"/>
      <c r="L58" s="107"/>
      <c r="M58" s="109"/>
      <c r="N58" s="246"/>
      <c r="O58" s="246"/>
      <c r="P58" s="246"/>
      <c r="Q58" s="252"/>
      <c r="R58" s="246"/>
      <c r="S58" s="108"/>
      <c r="T58" s="113"/>
      <c r="U58" s="246"/>
      <c r="V58" s="246"/>
      <c r="W58" s="246"/>
      <c r="X58" s="252"/>
      <c r="Y58" s="246"/>
      <c r="Z58" s="108"/>
      <c r="AA58" s="108"/>
      <c r="AB58" s="246"/>
      <c r="AC58" s="252"/>
      <c r="AD58" s="246"/>
      <c r="AE58" s="252"/>
      <c r="AF58" s="216">
        <f t="shared" ref="AF58" si="12">SUM(B58:AE58)</f>
        <v>0</v>
      </c>
    </row>
    <row r="59" spans="1:59" ht="28.9" hidden="1" thickBot="1">
      <c r="A59" s="190"/>
      <c r="B59" s="226"/>
      <c r="C59" s="227"/>
      <c r="D59" s="227"/>
      <c r="E59" s="133"/>
      <c r="F59" s="133"/>
      <c r="G59" s="227"/>
      <c r="H59" s="227"/>
      <c r="I59" s="227"/>
      <c r="J59" s="227"/>
      <c r="K59" s="227"/>
      <c r="L59" s="135"/>
      <c r="M59" s="136"/>
      <c r="N59" s="227"/>
      <c r="O59" s="227"/>
      <c r="P59" s="227"/>
      <c r="Q59" s="229"/>
      <c r="R59" s="227"/>
      <c r="S59" s="133"/>
      <c r="T59" s="134"/>
      <c r="U59" s="227"/>
      <c r="V59" s="230"/>
      <c r="W59" s="227"/>
      <c r="X59" s="229"/>
      <c r="Y59" s="227"/>
      <c r="Z59" s="133"/>
      <c r="AA59" s="134"/>
      <c r="AB59" s="227"/>
      <c r="AC59" s="229"/>
      <c r="AD59" s="227"/>
      <c r="AE59" s="229"/>
      <c r="AF59" s="184">
        <f>SUM(B59:AE59)</f>
        <v>0</v>
      </c>
    </row>
    <row r="60" spans="1:59" ht="28.9" hidden="1" thickBot="1">
      <c r="A60" s="146"/>
      <c r="B60" s="255"/>
      <c r="C60" s="246"/>
      <c r="D60" s="246"/>
      <c r="E60" s="108"/>
      <c r="F60" s="108"/>
      <c r="G60" s="246"/>
      <c r="H60" s="246"/>
      <c r="I60" s="246"/>
      <c r="J60" s="246"/>
      <c r="K60" s="246"/>
      <c r="L60" s="107"/>
      <c r="M60" s="109"/>
      <c r="N60" s="246"/>
      <c r="O60" s="246"/>
      <c r="P60" s="246"/>
      <c r="Q60" s="252"/>
      <c r="R60" s="246"/>
      <c r="S60" s="108"/>
      <c r="T60" s="113"/>
      <c r="U60" s="246"/>
      <c r="V60" s="247"/>
      <c r="W60" s="246"/>
      <c r="X60" s="252"/>
      <c r="Y60" s="246"/>
      <c r="Z60" s="108"/>
      <c r="AA60" s="113"/>
      <c r="AB60" s="246"/>
      <c r="AC60" s="252"/>
      <c r="AD60" s="246"/>
      <c r="AE60" s="252"/>
      <c r="AF60" s="357">
        <f>SUM(B60:AE60)</f>
        <v>0</v>
      </c>
    </row>
    <row r="61" spans="1:59" ht="28.9" hidden="1" thickBot="1">
      <c r="A61" s="146"/>
      <c r="B61" s="255"/>
      <c r="C61" s="246"/>
      <c r="D61" s="246"/>
      <c r="E61" s="108"/>
      <c r="F61" s="108"/>
      <c r="G61" s="246"/>
      <c r="H61" s="246"/>
      <c r="I61" s="246"/>
      <c r="J61" s="246"/>
      <c r="K61" s="246"/>
      <c r="L61" s="107"/>
      <c r="M61" s="109"/>
      <c r="N61" s="246"/>
      <c r="O61" s="246"/>
      <c r="P61" s="246"/>
      <c r="Q61" s="252"/>
      <c r="R61" s="246"/>
      <c r="S61" s="108"/>
      <c r="T61" s="113"/>
      <c r="U61" s="246"/>
      <c r="V61" s="247"/>
      <c r="W61" s="246"/>
      <c r="X61" s="252"/>
      <c r="Y61" s="246"/>
      <c r="Z61" s="108"/>
      <c r="AA61" s="113"/>
      <c r="AB61" s="246"/>
      <c r="AC61" s="252"/>
      <c r="AD61" s="246"/>
      <c r="AE61" s="252"/>
      <c r="AF61" s="216">
        <f t="shared" ref="AF61:AF64" si="13">SUM(B61:AE61)</f>
        <v>0</v>
      </c>
    </row>
    <row r="62" spans="1:59" ht="28.9" hidden="1" thickBot="1">
      <c r="A62" s="189"/>
      <c r="B62" s="259"/>
      <c r="C62" s="232"/>
      <c r="D62" s="232"/>
      <c r="E62" s="137"/>
      <c r="F62" s="137"/>
      <c r="G62" s="232"/>
      <c r="H62" s="232"/>
      <c r="I62" s="232"/>
      <c r="J62" s="232"/>
      <c r="K62" s="232"/>
      <c r="L62" s="149"/>
      <c r="M62" s="138"/>
      <c r="N62" s="232"/>
      <c r="O62" s="232"/>
      <c r="P62" s="232"/>
      <c r="Q62" s="233"/>
      <c r="R62" s="232"/>
      <c r="S62" s="137"/>
      <c r="T62" s="139"/>
      <c r="U62" s="232"/>
      <c r="V62" s="231"/>
      <c r="W62" s="232"/>
      <c r="X62" s="233"/>
      <c r="Y62" s="232"/>
      <c r="Z62" s="137"/>
      <c r="AA62" s="139"/>
      <c r="AB62" s="232"/>
      <c r="AC62" s="233"/>
      <c r="AD62" s="232"/>
      <c r="AE62" s="233"/>
      <c r="AF62" s="184">
        <f>SUM(B62:AE62)</f>
        <v>0</v>
      </c>
    </row>
    <row r="63" spans="1:59" ht="28.9" hidden="1" thickBot="1">
      <c r="A63" s="173"/>
      <c r="B63" s="266"/>
      <c r="C63" s="222"/>
      <c r="D63" s="222"/>
      <c r="E63" s="105"/>
      <c r="F63" s="105"/>
      <c r="G63" s="222"/>
      <c r="H63" s="222"/>
      <c r="I63" s="222"/>
      <c r="J63" s="222"/>
      <c r="K63" s="222"/>
      <c r="L63" s="111"/>
      <c r="M63" s="106"/>
      <c r="N63" s="222"/>
      <c r="O63" s="222"/>
      <c r="P63" s="222"/>
      <c r="Q63" s="254"/>
      <c r="R63" s="222"/>
      <c r="S63" s="105"/>
      <c r="T63" s="112"/>
      <c r="U63" s="222"/>
      <c r="V63" s="256"/>
      <c r="W63" s="222"/>
      <c r="X63" s="254"/>
      <c r="Y63" s="222"/>
      <c r="Z63" s="105"/>
      <c r="AA63" s="112"/>
      <c r="AB63" s="222"/>
      <c r="AC63" s="254"/>
      <c r="AD63" s="222"/>
      <c r="AE63" s="254"/>
      <c r="AF63" s="357">
        <f>SUM(B63:AE63)</f>
        <v>0</v>
      </c>
    </row>
    <row r="64" spans="1:59" ht="28.9" hidden="1" thickBot="1">
      <c r="A64" s="146"/>
      <c r="B64" s="255"/>
      <c r="C64" s="246"/>
      <c r="D64" s="246"/>
      <c r="E64" s="108"/>
      <c r="F64" s="108"/>
      <c r="G64" s="246"/>
      <c r="H64" s="246"/>
      <c r="I64" s="246"/>
      <c r="J64" s="246"/>
      <c r="K64" s="246"/>
      <c r="L64" s="107"/>
      <c r="M64" s="109"/>
      <c r="N64" s="246"/>
      <c r="O64" s="246"/>
      <c r="P64" s="246"/>
      <c r="Q64" s="252"/>
      <c r="R64" s="246"/>
      <c r="S64" s="108"/>
      <c r="T64" s="113"/>
      <c r="U64" s="246"/>
      <c r="V64" s="246"/>
      <c r="W64" s="246"/>
      <c r="X64" s="252"/>
      <c r="Y64" s="246"/>
      <c r="Z64" s="108"/>
      <c r="AA64" s="108"/>
      <c r="AB64" s="246"/>
      <c r="AC64" s="252"/>
      <c r="AD64" s="246"/>
      <c r="AE64" s="252"/>
      <c r="AF64" s="216">
        <f t="shared" si="13"/>
        <v>0</v>
      </c>
    </row>
    <row r="65" spans="1:32" ht="28.9" hidden="1" thickBot="1">
      <c r="A65" s="190"/>
      <c r="B65" s="226"/>
      <c r="C65" s="227"/>
      <c r="D65" s="227"/>
      <c r="E65" s="133"/>
      <c r="F65" s="133"/>
      <c r="G65" s="227"/>
      <c r="H65" s="227"/>
      <c r="I65" s="227"/>
      <c r="J65" s="227"/>
      <c r="K65" s="227"/>
      <c r="L65" s="135"/>
      <c r="M65" s="136"/>
      <c r="N65" s="227"/>
      <c r="O65" s="227"/>
      <c r="P65" s="227"/>
      <c r="Q65" s="229"/>
      <c r="R65" s="227"/>
      <c r="S65" s="133"/>
      <c r="T65" s="134"/>
      <c r="U65" s="227"/>
      <c r="V65" s="230"/>
      <c r="W65" s="227"/>
      <c r="X65" s="229"/>
      <c r="Y65" s="227"/>
      <c r="Z65" s="133"/>
      <c r="AA65" s="134"/>
      <c r="AB65" s="227"/>
      <c r="AC65" s="229"/>
      <c r="AD65" s="227"/>
      <c r="AE65" s="229"/>
      <c r="AF65" s="184">
        <f>SUM(B65:AE65)</f>
        <v>0</v>
      </c>
    </row>
    <row r="66" spans="1:32" ht="34.15" thickBot="1">
      <c r="A66" s="678" t="s">
        <v>40</v>
      </c>
      <c r="B66" s="267"/>
      <c r="C66" s="268"/>
      <c r="D66" s="268"/>
      <c r="E66" s="268"/>
      <c r="F66" s="269"/>
      <c r="G66" s="269"/>
      <c r="H66" s="268"/>
      <c r="I66" s="270"/>
      <c r="J66" s="270"/>
      <c r="K66" s="268"/>
      <c r="L66" s="268"/>
      <c r="M66" s="268"/>
      <c r="N66" s="271"/>
      <c r="O66" s="271"/>
      <c r="P66" s="268"/>
      <c r="Q66" s="268"/>
      <c r="R66" s="268"/>
      <c r="S66" s="269"/>
      <c r="T66" s="268"/>
      <c r="U66" s="271"/>
      <c r="V66" s="269"/>
      <c r="W66" s="269"/>
      <c r="X66" s="268"/>
      <c r="Y66" s="269"/>
      <c r="Z66" s="268"/>
      <c r="AA66" s="269"/>
      <c r="AB66" s="269"/>
      <c r="AC66" s="269"/>
      <c r="AD66" s="268"/>
      <c r="AE66" s="272"/>
      <c r="AF66" s="147" t="s">
        <v>41</v>
      </c>
    </row>
    <row r="67" spans="1:32" ht="34.15" thickBot="1">
      <c r="A67" s="679"/>
      <c r="B67" s="273"/>
      <c r="C67" s="274"/>
      <c r="D67" s="274"/>
      <c r="E67" s="274"/>
      <c r="F67" s="275"/>
      <c r="G67" s="275"/>
      <c r="H67" s="274"/>
      <c r="I67" s="276"/>
      <c r="J67" s="276"/>
      <c r="K67" s="461"/>
      <c r="L67" s="274"/>
      <c r="M67" s="274"/>
      <c r="N67" s="277"/>
      <c r="O67" s="278"/>
      <c r="P67" s="461"/>
      <c r="Q67" s="274"/>
      <c r="R67" s="274"/>
      <c r="S67" s="275"/>
      <c r="T67" s="274"/>
      <c r="U67" s="275"/>
      <c r="V67" s="275"/>
      <c r="W67" s="275"/>
      <c r="X67" s="274"/>
      <c r="Y67" s="275"/>
      <c r="Z67" s="274"/>
      <c r="AA67" s="275"/>
      <c r="AB67" s="275"/>
      <c r="AC67" s="275"/>
      <c r="AD67" s="274"/>
      <c r="AE67" s="279"/>
      <c r="AF67" s="672">
        <v>160</v>
      </c>
    </row>
    <row r="68" spans="1:32" ht="28.9" thickTop="1">
      <c r="A68" s="125" t="s">
        <v>42</v>
      </c>
      <c r="B68" s="126"/>
      <c r="C68" s="126"/>
      <c r="D68" s="124"/>
      <c r="E68" s="124"/>
      <c r="F68" s="124"/>
      <c r="G68" s="124"/>
      <c r="H68" s="127"/>
      <c r="I68" s="7"/>
      <c r="J68" s="7"/>
      <c r="K68" s="20" t="s">
        <v>43</v>
      </c>
      <c r="L68" s="21"/>
      <c r="M68" s="21"/>
      <c r="N68" s="21"/>
      <c r="O68" s="21"/>
      <c r="P68" s="128"/>
      <c r="Q68" s="128"/>
      <c r="R68" s="128"/>
      <c r="S68" s="128" t="s">
        <v>44</v>
      </c>
      <c r="T68" s="23"/>
      <c r="U68" s="129"/>
      <c r="V68" s="7"/>
      <c r="W68" s="7"/>
      <c r="X68" s="25"/>
      <c r="Y68" s="26"/>
      <c r="Z68" s="26"/>
      <c r="AA68" s="26"/>
      <c r="AB68" s="90" t="s">
        <v>45</v>
      </c>
      <c r="AC68" s="26"/>
      <c r="AD68" s="26"/>
      <c r="AE68" s="26"/>
      <c r="AF68" s="15"/>
    </row>
    <row r="69" spans="1:32" ht="28.15">
      <c r="A69" s="16" t="s">
        <v>46</v>
      </c>
      <c r="B69" s="17"/>
      <c r="C69" s="17"/>
      <c r="D69" s="18"/>
      <c r="E69" s="18"/>
      <c r="F69" s="18"/>
      <c r="G69" s="18"/>
      <c r="H69" s="19"/>
      <c r="I69" s="7"/>
      <c r="J69" s="7"/>
      <c r="K69" s="20" t="s">
        <v>47</v>
      </c>
      <c r="L69" s="21"/>
      <c r="M69" s="21"/>
      <c r="N69" s="21"/>
      <c r="O69" s="21"/>
      <c r="P69" s="128"/>
      <c r="Q69" s="128"/>
      <c r="R69" s="128" t="s">
        <v>48</v>
      </c>
      <c r="S69" s="23"/>
      <c r="T69" s="23"/>
      <c r="U69" s="24"/>
      <c r="V69" s="7"/>
      <c r="W69" s="7"/>
      <c r="X69" s="89"/>
      <c r="Y69" s="90"/>
      <c r="Z69" s="90"/>
      <c r="AA69" s="90"/>
      <c r="AB69" s="90"/>
      <c r="AC69" s="90"/>
      <c r="AD69" s="90"/>
      <c r="AE69" s="90"/>
      <c r="AF69" s="95"/>
    </row>
    <row r="70" spans="1:32" ht="28.15">
      <c r="A70" s="85" t="s">
        <v>49</v>
      </c>
      <c r="B70" s="86"/>
      <c r="C70" s="86"/>
      <c r="D70" s="10"/>
      <c r="E70" s="10"/>
      <c r="F70" s="10"/>
      <c r="G70" s="10"/>
      <c r="H70" s="87"/>
      <c r="I70" s="7"/>
      <c r="J70" s="7"/>
      <c r="K70" s="20" t="s">
        <v>50</v>
      </c>
      <c r="L70" s="21"/>
      <c r="M70" s="21"/>
      <c r="N70" s="21"/>
      <c r="O70" s="21"/>
      <c r="P70" s="128"/>
      <c r="Q70" s="128"/>
      <c r="R70" s="128"/>
      <c r="S70" s="128"/>
      <c r="T70" s="128"/>
      <c r="U70" s="129"/>
      <c r="V70" s="7"/>
      <c r="W70" s="7"/>
      <c r="X70" s="93"/>
      <c r="Y70" s="90"/>
      <c r="Z70" s="90"/>
      <c r="AA70" s="90"/>
      <c r="AB70" s="90"/>
      <c r="AC70" s="90"/>
      <c r="AD70" s="90"/>
      <c r="AE70" s="90"/>
      <c r="AF70" s="95"/>
    </row>
    <row r="71" spans="1:32" ht="28.9">
      <c r="A71" s="32" t="s">
        <v>51</v>
      </c>
      <c r="B71" s="33"/>
      <c r="C71" s="33"/>
      <c r="D71" s="34"/>
      <c r="E71" s="34"/>
      <c r="F71" s="34"/>
      <c r="G71" s="34"/>
      <c r="H71" s="35"/>
      <c r="I71" s="36"/>
      <c r="J71" s="36"/>
      <c r="K71" s="20" t="s">
        <v>52</v>
      </c>
      <c r="L71" s="21"/>
      <c r="M71" s="21"/>
      <c r="N71" s="21"/>
      <c r="O71" s="21"/>
      <c r="P71" s="21"/>
      <c r="Q71" s="21"/>
      <c r="R71" s="21"/>
      <c r="S71" s="202"/>
      <c r="T71" s="21"/>
      <c r="U71" s="203"/>
      <c r="V71" s="40"/>
      <c r="W71" s="6"/>
      <c r="X71" s="88"/>
      <c r="Y71" s="94"/>
      <c r="Z71" s="91"/>
      <c r="AA71" s="94"/>
      <c r="AB71" s="94"/>
      <c r="AC71" s="94"/>
      <c r="AD71" s="94"/>
      <c r="AE71" s="94"/>
      <c r="AF71" s="92"/>
    </row>
    <row r="72" spans="1:32" ht="28.9">
      <c r="A72" s="42" t="s">
        <v>53</v>
      </c>
      <c r="B72" s="43"/>
      <c r="C72" s="43"/>
      <c r="D72" s="43"/>
      <c r="E72" s="43"/>
      <c r="F72" s="43"/>
      <c r="G72" s="43"/>
      <c r="H72" s="44"/>
      <c r="I72" s="36"/>
      <c r="J72" s="36"/>
      <c r="K72" s="20" t="s">
        <v>54</v>
      </c>
      <c r="L72" s="21"/>
      <c r="M72" s="21"/>
      <c r="N72" s="21"/>
      <c r="O72" s="21"/>
      <c r="P72" s="21"/>
      <c r="Q72" s="21"/>
      <c r="R72" s="21"/>
      <c r="S72" s="202"/>
      <c r="T72" s="21"/>
      <c r="U72" s="203"/>
      <c r="V72" s="40"/>
      <c r="W72" s="6"/>
      <c r="X72" s="88"/>
      <c r="Y72" s="94"/>
      <c r="Z72" s="91"/>
      <c r="AA72" s="94"/>
      <c r="AB72" s="94"/>
      <c r="AC72" s="94"/>
      <c r="AD72" s="94"/>
      <c r="AE72" s="94"/>
      <c r="AF72" s="92"/>
    </row>
    <row r="73" spans="1:32" ht="28.9">
      <c r="A73" s="47" t="s">
        <v>55</v>
      </c>
      <c r="B73" s="48"/>
      <c r="C73" s="48"/>
      <c r="D73" s="49"/>
      <c r="E73" s="49"/>
      <c r="F73" s="49"/>
      <c r="G73" s="49"/>
      <c r="H73" s="50"/>
      <c r="I73" s="36"/>
      <c r="J73" s="36"/>
      <c r="K73" s="20" t="s">
        <v>56</v>
      </c>
      <c r="L73" s="21"/>
      <c r="M73" s="21"/>
      <c r="N73" s="21"/>
      <c r="O73" s="21"/>
      <c r="P73" s="21"/>
      <c r="Q73" s="21"/>
      <c r="R73" s="21"/>
      <c r="S73" s="202"/>
      <c r="T73" s="21"/>
      <c r="U73" s="204"/>
      <c r="V73" s="40"/>
      <c r="W73" s="6"/>
      <c r="X73" s="88"/>
      <c r="Y73" s="94"/>
      <c r="Z73" s="91"/>
      <c r="AA73" s="94"/>
      <c r="AB73" s="94"/>
      <c r="AC73" s="94"/>
      <c r="AD73" s="94"/>
      <c r="AE73" s="94"/>
      <c r="AF73" s="95"/>
    </row>
    <row r="74" spans="1:32" ht="28.9">
      <c r="A74" s="52" t="s">
        <v>57</v>
      </c>
      <c r="B74" s="53"/>
      <c r="C74" s="53"/>
      <c r="D74" s="53"/>
      <c r="E74" s="53"/>
      <c r="F74" s="53"/>
      <c r="G74" s="53"/>
      <c r="H74" s="54"/>
      <c r="I74" s="36"/>
      <c r="J74" s="36"/>
      <c r="K74" s="20" t="s">
        <v>58</v>
      </c>
      <c r="L74" s="21"/>
      <c r="M74" s="21"/>
      <c r="N74" s="21"/>
      <c r="O74" s="21"/>
      <c r="P74" s="21"/>
      <c r="Q74" s="21" t="s">
        <v>59</v>
      </c>
      <c r="R74" s="21"/>
      <c r="S74" s="202"/>
      <c r="T74" s="21"/>
      <c r="U74" s="203"/>
      <c r="V74" s="40"/>
      <c r="W74" s="6"/>
      <c r="X74" s="88"/>
      <c r="Y74" s="94"/>
      <c r="Z74" s="91"/>
      <c r="AA74" s="94"/>
      <c r="AB74" s="94"/>
      <c r="AC74" s="94"/>
      <c r="AD74" s="94"/>
      <c r="AE74" s="94"/>
      <c r="AF74" s="92"/>
    </row>
    <row r="75" spans="1:32" ht="28.9">
      <c r="A75" s="56" t="s">
        <v>60</v>
      </c>
      <c r="B75" s="57"/>
      <c r="C75" s="57"/>
      <c r="D75" s="58"/>
      <c r="E75" s="58"/>
      <c r="F75" s="58"/>
      <c r="G75" s="58"/>
      <c r="H75" s="59"/>
      <c r="I75" s="6"/>
      <c r="J75" s="6"/>
      <c r="K75" s="20" t="s">
        <v>61</v>
      </c>
      <c r="L75" s="21"/>
      <c r="M75" s="21"/>
      <c r="N75" s="21"/>
      <c r="O75" s="21"/>
      <c r="P75" s="21"/>
      <c r="Q75" s="21"/>
      <c r="R75" s="21"/>
      <c r="S75" s="202"/>
      <c r="T75" s="21"/>
      <c r="U75" s="204"/>
      <c r="V75" s="6"/>
      <c r="W75" s="6"/>
      <c r="X75" s="88"/>
      <c r="Y75" s="94"/>
      <c r="Z75" s="91"/>
      <c r="AA75" s="94"/>
      <c r="AB75" s="94"/>
      <c r="AC75" s="94"/>
      <c r="AD75" s="94"/>
      <c r="AE75" s="94"/>
      <c r="AF75" s="92"/>
    </row>
    <row r="76" spans="1:32" ht="29.45" thickBot="1">
      <c r="A76" s="60" t="s">
        <v>62</v>
      </c>
      <c r="B76" s="61"/>
      <c r="C76" s="61"/>
      <c r="D76" s="61"/>
      <c r="E76" s="61"/>
      <c r="F76" s="61"/>
      <c r="G76" s="61"/>
      <c r="H76" s="62"/>
      <c r="I76" s="6"/>
      <c r="J76" s="6"/>
      <c r="K76" s="63" t="s">
        <v>63</v>
      </c>
      <c r="L76" s="64"/>
      <c r="M76" s="64"/>
      <c r="N76" s="64"/>
      <c r="O76" s="64"/>
      <c r="P76" s="64"/>
      <c r="Q76" s="64"/>
      <c r="R76" s="64"/>
      <c r="S76" s="205"/>
      <c r="T76" s="64"/>
      <c r="U76" s="206"/>
      <c r="V76" s="6"/>
      <c r="W76" s="6"/>
      <c r="X76" s="96"/>
      <c r="Y76" s="97"/>
      <c r="Z76" s="98"/>
      <c r="AA76" s="97"/>
      <c r="AB76" s="97"/>
      <c r="AC76" s="97"/>
      <c r="AD76" s="97"/>
      <c r="AE76" s="97"/>
      <c r="AF76" s="99"/>
    </row>
    <row r="77" spans="1:32" ht="28.9">
      <c r="A77" s="6"/>
      <c r="B77" s="6"/>
      <c r="C77" s="6"/>
      <c r="D77" s="6"/>
      <c r="E77" s="6"/>
      <c r="F77" s="6"/>
      <c r="G77" s="6"/>
      <c r="H77" s="6"/>
      <c r="I77" s="6"/>
      <c r="J77" s="72"/>
      <c r="K77" s="73"/>
      <c r="L77" s="74"/>
      <c r="M77" s="74"/>
      <c r="N77" s="74"/>
      <c r="O77" s="74"/>
      <c r="P77" s="74"/>
      <c r="Q77" s="74"/>
      <c r="R77" s="72"/>
      <c r="S77" s="72"/>
      <c r="T77" s="72"/>
      <c r="U77" s="72"/>
      <c r="V77" s="72"/>
      <c r="W77" s="72"/>
      <c r="X77" s="72"/>
      <c r="Y77" s="72"/>
      <c r="Z77" s="6"/>
      <c r="AA77" s="6"/>
      <c r="AB77" s="6"/>
      <c r="AC77" s="6"/>
      <c r="AD77" s="6"/>
      <c r="AE77" s="6"/>
      <c r="AF77" s="6"/>
    </row>
    <row r="78" spans="1:32" ht="28.9">
      <c r="A78" s="6" t="s">
        <v>64</v>
      </c>
      <c r="B78" s="6"/>
      <c r="C78" s="6"/>
      <c r="D78" s="6"/>
      <c r="E78" s="6"/>
      <c r="F78" s="6"/>
      <c r="G78" s="6"/>
      <c r="H78" s="6" t="s">
        <v>65</v>
      </c>
      <c r="I78" s="6"/>
      <c r="J78" s="72"/>
      <c r="K78" s="73"/>
      <c r="L78" s="74"/>
      <c r="M78" s="74"/>
      <c r="N78" s="74"/>
      <c r="O78" s="74"/>
      <c r="P78" s="74" t="s">
        <v>66</v>
      </c>
      <c r="Q78" s="74"/>
      <c r="R78" s="72"/>
      <c r="S78" s="72"/>
      <c r="T78" s="72"/>
      <c r="U78" s="72"/>
      <c r="V78" s="72"/>
      <c r="W78" s="72"/>
      <c r="X78" s="72"/>
      <c r="Y78" s="72"/>
      <c r="Z78" s="6"/>
      <c r="AA78" s="6" t="s">
        <v>67</v>
      </c>
      <c r="AB78" s="6"/>
      <c r="AC78" s="6"/>
      <c r="AD78" s="6"/>
      <c r="AE78" s="6"/>
      <c r="AF78" s="6"/>
    </row>
    <row r="79" spans="1:32" ht="28.9">
      <c r="P79" s="74" t="s">
        <v>68</v>
      </c>
      <c r="Q79" s="74"/>
    </row>
  </sheetData>
  <mergeCells count="1">
    <mergeCell ref="A66:A67"/>
  </mergeCells>
  <conditionalFormatting sqref="V2:Z2">
    <cfRule type="duplicateValues" dxfId="2" priority="1"/>
  </conditionalFormatting>
  <pageMargins left="0.7" right="0.7" top="0.75" bottom="0.75" header="0.3" footer="0.3"/>
  <pageSetup paperSize="9" orientation="landscape" horizontalDpi="360" verticalDpi="360" r:id="rId1"/>
  <ignoredErrors>
    <ignoredError sqref="AF20 AF23 AF29 AF32 AF35 AF38 AF41 AF44 AF47"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39216-919D-E747-8341-056C669CD1FF}">
  <sheetPr codeName="Sheet2"/>
  <dimension ref="A1:AI77"/>
  <sheetViews>
    <sheetView showGridLines="0" zoomScale="38" zoomScaleNormal="40" workbookViewId="0">
      <selection activeCell="AC19" sqref="AC19"/>
    </sheetView>
  </sheetViews>
  <sheetFormatPr defaultColWidth="8.7109375" defaultRowHeight="14.45"/>
  <cols>
    <col min="1" max="1" width="19.7109375" customWidth="1"/>
    <col min="4" max="4" width="8.7109375" style="1"/>
    <col min="5" max="5" width="8.7109375" customWidth="1"/>
    <col min="11" max="11" width="8.140625" customWidth="1"/>
    <col min="23" max="23" width="9.42578125" customWidth="1"/>
    <col min="26" max="26" width="9.140625" customWidth="1"/>
    <col min="33" max="33" width="16.42578125" customWidth="1"/>
    <col min="34" max="34" width="21.28515625" customWidth="1"/>
  </cols>
  <sheetData>
    <row r="1" spans="1:34" ht="28.9" thickTop="1" thickBot="1">
      <c r="A1" s="185" t="s">
        <v>0</v>
      </c>
      <c r="B1" s="280">
        <v>1</v>
      </c>
      <c r="C1" s="140">
        <v>2</v>
      </c>
      <c r="D1" s="140">
        <v>3</v>
      </c>
      <c r="E1" s="282">
        <v>4</v>
      </c>
      <c r="F1" s="281">
        <v>5</v>
      </c>
      <c r="G1" s="281">
        <v>6</v>
      </c>
      <c r="H1" s="369">
        <v>7</v>
      </c>
      <c r="I1" s="281">
        <v>8</v>
      </c>
      <c r="J1" s="140">
        <v>9</v>
      </c>
      <c r="K1" s="140">
        <v>10</v>
      </c>
      <c r="L1" s="283">
        <v>11</v>
      </c>
      <c r="M1" s="284">
        <v>12</v>
      </c>
      <c r="N1" s="281">
        <v>13</v>
      </c>
      <c r="O1" s="281">
        <v>14</v>
      </c>
      <c r="P1" s="283">
        <v>15</v>
      </c>
      <c r="Q1" s="140">
        <v>16</v>
      </c>
      <c r="R1" s="142">
        <v>17</v>
      </c>
      <c r="S1" s="281">
        <v>18</v>
      </c>
      <c r="T1" s="281">
        <v>19</v>
      </c>
      <c r="U1" s="283">
        <v>20</v>
      </c>
      <c r="V1" s="369">
        <v>21</v>
      </c>
      <c r="W1" s="283">
        <v>22</v>
      </c>
      <c r="X1" s="140">
        <v>23</v>
      </c>
      <c r="Y1" s="142">
        <v>24</v>
      </c>
      <c r="Z1" s="281">
        <v>25</v>
      </c>
      <c r="AA1" s="283">
        <v>26</v>
      </c>
      <c r="AB1" s="281">
        <v>27</v>
      </c>
      <c r="AC1" s="283">
        <v>28</v>
      </c>
      <c r="AD1" s="281">
        <v>29</v>
      </c>
      <c r="AE1" s="140">
        <v>30</v>
      </c>
      <c r="AF1" s="143">
        <v>31</v>
      </c>
      <c r="AG1" s="176" t="s">
        <v>1</v>
      </c>
      <c r="AH1" s="485" t="s">
        <v>2</v>
      </c>
    </row>
    <row r="2" spans="1:34" ht="29.45" thickBot="1">
      <c r="A2" s="186" t="s">
        <v>69</v>
      </c>
      <c r="B2" s="290" t="s">
        <v>6</v>
      </c>
      <c r="C2" s="121" t="s">
        <v>7</v>
      </c>
      <c r="D2" s="181" t="s">
        <v>8</v>
      </c>
      <c r="E2" s="119" t="s">
        <v>9</v>
      </c>
      <c r="F2" s="119" t="s">
        <v>10</v>
      </c>
      <c r="G2" s="119" t="s">
        <v>4</v>
      </c>
      <c r="H2" s="397" t="s">
        <v>5</v>
      </c>
      <c r="I2" s="119" t="s">
        <v>6</v>
      </c>
      <c r="J2" s="121" t="s">
        <v>7</v>
      </c>
      <c r="K2" s="182" t="s">
        <v>8</v>
      </c>
      <c r="L2" s="119" t="s">
        <v>9</v>
      </c>
      <c r="M2" s="291" t="s">
        <v>10</v>
      </c>
      <c r="N2" s="287" t="s">
        <v>4</v>
      </c>
      <c r="O2" s="119" t="s">
        <v>5</v>
      </c>
      <c r="P2" s="120" t="s">
        <v>6</v>
      </c>
      <c r="Q2" s="121" t="s">
        <v>7</v>
      </c>
      <c r="R2" s="181" t="s">
        <v>8</v>
      </c>
      <c r="S2" s="119" t="s">
        <v>9</v>
      </c>
      <c r="T2" s="119" t="s">
        <v>10</v>
      </c>
      <c r="U2" s="119" t="s">
        <v>4</v>
      </c>
      <c r="V2" s="397" t="s">
        <v>5</v>
      </c>
      <c r="W2" s="120" t="s">
        <v>6</v>
      </c>
      <c r="X2" s="181" t="s">
        <v>7</v>
      </c>
      <c r="Y2" s="182" t="s">
        <v>8</v>
      </c>
      <c r="Z2" s="119" t="s">
        <v>9</v>
      </c>
      <c r="AA2" s="291" t="s">
        <v>10</v>
      </c>
      <c r="AB2" s="287" t="s">
        <v>4</v>
      </c>
      <c r="AC2" s="9" t="s">
        <v>5</v>
      </c>
      <c r="AD2" s="287" t="s">
        <v>6</v>
      </c>
      <c r="AE2" s="121" t="s">
        <v>7</v>
      </c>
      <c r="AF2" s="121" t="s">
        <v>8</v>
      </c>
      <c r="AG2" s="214">
        <f>SUM(AG5,AG8,AG11,AG14,AG17,AG20,AG23,AG26,AG29,AG32,AG35,AG38,AG41,AG44,AG47,AG50,AG53,AG56)</f>
        <v>58</v>
      </c>
      <c r="AH2" s="486" t="s">
        <v>11</v>
      </c>
    </row>
    <row r="3" spans="1:34" ht="28.9" thickBot="1">
      <c r="A3" s="146" t="s">
        <v>12</v>
      </c>
      <c r="B3" s="627" t="s">
        <v>13</v>
      </c>
      <c r="C3" s="624"/>
      <c r="D3" s="624"/>
      <c r="E3" s="220" t="s">
        <v>13</v>
      </c>
      <c r="F3" s="220" t="s">
        <v>13</v>
      </c>
      <c r="G3" s="220" t="s">
        <v>13</v>
      </c>
      <c r="H3" s="382" t="s">
        <v>13</v>
      </c>
      <c r="I3" s="220" t="s">
        <v>13</v>
      </c>
      <c r="J3" s="122"/>
      <c r="K3" s="122"/>
      <c r="L3" s="624" t="s">
        <v>13</v>
      </c>
      <c r="M3" s="628" t="s">
        <v>13</v>
      </c>
      <c r="N3" s="624" t="s">
        <v>13</v>
      </c>
      <c r="O3" s="624" t="s">
        <v>13</v>
      </c>
      <c r="P3" s="624" t="s">
        <v>13</v>
      </c>
      <c r="Q3" s="624"/>
      <c r="R3" s="624"/>
      <c r="S3" s="220" t="s">
        <v>13</v>
      </c>
      <c r="T3" s="220" t="s">
        <v>13</v>
      </c>
      <c r="U3" s="220" t="s">
        <v>13</v>
      </c>
      <c r="V3" s="382" t="s">
        <v>13</v>
      </c>
      <c r="W3" s="220" t="s">
        <v>13</v>
      </c>
      <c r="X3" s="122"/>
      <c r="Y3" s="122"/>
      <c r="Z3" s="624" t="s">
        <v>13</v>
      </c>
      <c r="AA3" s="628" t="s">
        <v>13</v>
      </c>
      <c r="AB3" s="624" t="s">
        <v>13</v>
      </c>
      <c r="AC3" s="624" t="s">
        <v>13</v>
      </c>
      <c r="AD3" s="462">
        <v>1</v>
      </c>
      <c r="AE3" s="624"/>
      <c r="AF3" s="629"/>
      <c r="AG3" s="215">
        <f t="shared" ref="AG3:AG30" si="0">SUM(B3:AF3)</f>
        <v>1</v>
      </c>
      <c r="AH3" s="487"/>
    </row>
    <row r="4" spans="1:34" ht="28.9" thickBot="1">
      <c r="A4" s="146" t="s">
        <v>14</v>
      </c>
      <c r="B4" s="223">
        <v>7.5</v>
      </c>
      <c r="C4" s="103"/>
      <c r="D4" s="103"/>
      <c r="E4" s="224">
        <v>7.5</v>
      </c>
      <c r="F4" s="224">
        <v>7.5</v>
      </c>
      <c r="G4" s="224">
        <v>7.5</v>
      </c>
      <c r="H4" s="372">
        <v>7.5</v>
      </c>
      <c r="I4" s="224">
        <v>7.5</v>
      </c>
      <c r="J4" s="103"/>
      <c r="K4" s="103"/>
      <c r="L4" s="224">
        <v>7.5</v>
      </c>
      <c r="M4" s="224">
        <v>7.5</v>
      </c>
      <c r="N4" s="224">
        <v>7.5</v>
      </c>
      <c r="O4" s="224">
        <v>7.5</v>
      </c>
      <c r="P4" s="224">
        <v>7.5</v>
      </c>
      <c r="Q4" s="103"/>
      <c r="R4" s="103"/>
      <c r="S4" s="224">
        <v>7.5</v>
      </c>
      <c r="T4" s="224">
        <v>7.5</v>
      </c>
      <c r="U4" s="224">
        <v>7.5</v>
      </c>
      <c r="V4" s="372">
        <v>7.5</v>
      </c>
      <c r="W4" s="224">
        <v>7.5</v>
      </c>
      <c r="X4" s="103"/>
      <c r="Y4" s="103"/>
      <c r="Z4" s="224">
        <v>7.5</v>
      </c>
      <c r="AA4" s="224">
        <v>7.5</v>
      </c>
      <c r="AB4" s="224">
        <v>7.5</v>
      </c>
      <c r="AC4" s="224">
        <v>7.5</v>
      </c>
      <c r="AD4" s="619">
        <v>7.5</v>
      </c>
      <c r="AE4" s="103"/>
      <c r="AF4" s="366"/>
      <c r="AG4" s="496">
        <f t="shared" si="0"/>
        <v>157.5</v>
      </c>
      <c r="AH4" s="488"/>
    </row>
    <row r="5" spans="1:34" ht="28.9" thickBot="1">
      <c r="A5" s="187" t="s">
        <v>15</v>
      </c>
      <c r="B5" s="303"/>
      <c r="C5" s="177"/>
      <c r="D5" s="177"/>
      <c r="E5" s="305"/>
      <c r="F5" s="304"/>
      <c r="G5" s="304"/>
      <c r="H5" s="398"/>
      <c r="I5" s="304"/>
      <c r="J5" s="177"/>
      <c r="K5" s="179"/>
      <c r="L5" s="304"/>
      <c r="M5" s="306"/>
      <c r="N5" s="304"/>
      <c r="O5" s="306"/>
      <c r="P5" s="304"/>
      <c r="Q5" s="179"/>
      <c r="R5" s="177"/>
      <c r="S5" s="304"/>
      <c r="T5" s="306"/>
      <c r="U5" s="304"/>
      <c r="V5" s="400"/>
      <c r="W5" s="304"/>
      <c r="X5" s="179"/>
      <c r="Y5" s="177"/>
      <c r="Z5" s="307"/>
      <c r="AA5" s="307"/>
      <c r="AB5" s="304"/>
      <c r="AC5" s="306"/>
      <c r="AD5" s="589"/>
      <c r="AE5" s="177"/>
      <c r="AF5" s="367"/>
      <c r="AG5" s="497">
        <f t="shared" si="0"/>
        <v>0</v>
      </c>
      <c r="AH5" s="489"/>
    </row>
    <row r="6" spans="1:34" ht="28.9" thickBot="1">
      <c r="A6" s="146" t="s">
        <v>16</v>
      </c>
      <c r="B6" s="292" t="s">
        <v>13</v>
      </c>
      <c r="C6" s="122"/>
      <c r="D6" s="122"/>
      <c r="E6" s="624" t="s">
        <v>13</v>
      </c>
      <c r="F6" s="624" t="s">
        <v>13</v>
      </c>
      <c r="G6" s="624" t="s">
        <v>13</v>
      </c>
      <c r="H6" s="624" t="s">
        <v>13</v>
      </c>
      <c r="I6" s="624" t="s">
        <v>13</v>
      </c>
      <c r="J6" s="624"/>
      <c r="K6" s="624"/>
      <c r="L6" s="220" t="s">
        <v>13</v>
      </c>
      <c r="M6" s="293" t="s">
        <v>13</v>
      </c>
      <c r="N6" s="220" t="s">
        <v>13</v>
      </c>
      <c r="O6" s="220" t="s">
        <v>13</v>
      </c>
      <c r="P6" s="220" t="s">
        <v>13</v>
      </c>
      <c r="Q6" s="122"/>
      <c r="R6" s="122"/>
      <c r="S6" s="624" t="s">
        <v>13</v>
      </c>
      <c r="T6" s="624" t="s">
        <v>13</v>
      </c>
      <c r="U6" s="624" t="s">
        <v>13</v>
      </c>
      <c r="V6" s="624" t="s">
        <v>13</v>
      </c>
      <c r="W6" s="624" t="s">
        <v>13</v>
      </c>
      <c r="X6" s="624"/>
      <c r="Y6" s="624"/>
      <c r="Z6" s="220" t="s">
        <v>13</v>
      </c>
      <c r="AA6" s="293" t="s">
        <v>13</v>
      </c>
      <c r="AB6" s="220" t="s">
        <v>13</v>
      </c>
      <c r="AC6" s="220" t="s">
        <v>13</v>
      </c>
      <c r="AD6" s="624" t="s">
        <v>13</v>
      </c>
      <c r="AE6" s="122"/>
      <c r="AF6" s="365"/>
      <c r="AG6" s="215">
        <f t="shared" si="0"/>
        <v>0</v>
      </c>
      <c r="AH6" s="490"/>
    </row>
    <row r="7" spans="1:34" ht="28.9" thickBot="1">
      <c r="A7" s="146" t="s">
        <v>19</v>
      </c>
      <c r="B7" s="223">
        <v>7.5</v>
      </c>
      <c r="C7" s="103"/>
      <c r="D7" s="103"/>
      <c r="E7" s="224">
        <v>7.5</v>
      </c>
      <c r="F7" s="224">
        <v>7.5</v>
      </c>
      <c r="G7" s="224">
        <v>7.5</v>
      </c>
      <c r="H7" s="372">
        <v>7.5</v>
      </c>
      <c r="I7" s="224">
        <v>7.5</v>
      </c>
      <c r="J7" s="103"/>
      <c r="K7" s="103"/>
      <c r="L7" s="224">
        <v>7.5</v>
      </c>
      <c r="M7" s="224">
        <v>7.5</v>
      </c>
      <c r="N7" s="224">
        <v>7.5</v>
      </c>
      <c r="O7" s="224">
        <v>7.5</v>
      </c>
      <c r="P7" s="224">
        <v>7.5</v>
      </c>
      <c r="Q7" s="103"/>
      <c r="R7" s="103"/>
      <c r="S7" s="224">
        <v>7.5</v>
      </c>
      <c r="T7" s="224">
        <v>7.5</v>
      </c>
      <c r="U7" s="224">
        <v>7.5</v>
      </c>
      <c r="V7" s="372">
        <v>7.5</v>
      </c>
      <c r="W7" s="224">
        <v>7.5</v>
      </c>
      <c r="X7" s="103"/>
      <c r="Y7" s="103"/>
      <c r="Z7" s="224">
        <v>7.5</v>
      </c>
      <c r="AA7" s="224">
        <v>7.5</v>
      </c>
      <c r="AB7" s="224">
        <v>7.5</v>
      </c>
      <c r="AC7" s="224">
        <v>7.5</v>
      </c>
      <c r="AD7" s="224">
        <v>7.5</v>
      </c>
      <c r="AE7" s="103"/>
      <c r="AF7" s="366"/>
      <c r="AG7" s="496">
        <f t="shared" si="0"/>
        <v>157.5</v>
      </c>
      <c r="AH7" s="491">
        <f>SUM(AG7-AG58)</f>
        <v>-8</v>
      </c>
    </row>
    <row r="8" spans="1:34" ht="28.9" thickBot="1">
      <c r="A8" s="187" t="s">
        <v>20</v>
      </c>
      <c r="B8" s="303"/>
      <c r="C8" s="177"/>
      <c r="D8" s="177"/>
      <c r="E8" s="305"/>
      <c r="F8" s="304"/>
      <c r="G8" s="304"/>
      <c r="H8" s="398"/>
      <c r="I8" s="304"/>
      <c r="J8" s="177"/>
      <c r="K8" s="179"/>
      <c r="L8" s="304"/>
      <c r="M8" s="306"/>
      <c r="N8" s="304"/>
      <c r="O8" s="306"/>
      <c r="P8" s="304"/>
      <c r="Q8" s="179"/>
      <c r="R8" s="177"/>
      <c r="S8" s="304"/>
      <c r="T8" s="306"/>
      <c r="U8" s="304"/>
      <c r="V8" s="400"/>
      <c r="W8" s="304"/>
      <c r="X8" s="179"/>
      <c r="Y8" s="177"/>
      <c r="Z8" s="307"/>
      <c r="AA8" s="307"/>
      <c r="AB8" s="304"/>
      <c r="AC8" s="306"/>
      <c r="AD8" s="304"/>
      <c r="AE8" s="177"/>
      <c r="AF8" s="367"/>
      <c r="AG8" s="497">
        <f t="shared" si="0"/>
        <v>0</v>
      </c>
      <c r="AH8" s="492"/>
    </row>
    <row r="9" spans="1:34" ht="28.9" thickBot="1">
      <c r="A9" s="173" t="s">
        <v>21</v>
      </c>
      <c r="B9" s="292"/>
      <c r="C9" s="122"/>
      <c r="D9" s="122"/>
      <c r="E9" s="423" t="s">
        <v>18</v>
      </c>
      <c r="F9" s="220" t="s">
        <v>18</v>
      </c>
      <c r="G9" s="220"/>
      <c r="H9" s="382"/>
      <c r="I9" s="220"/>
      <c r="J9" s="122"/>
      <c r="K9" s="122" t="s">
        <v>18</v>
      </c>
      <c r="L9" s="220" t="s">
        <v>18</v>
      </c>
      <c r="M9" s="673"/>
      <c r="N9" s="587"/>
      <c r="O9" s="587"/>
      <c r="P9" s="587"/>
      <c r="Q9" s="463">
        <v>2</v>
      </c>
      <c r="R9" s="462">
        <v>2</v>
      </c>
      <c r="S9" s="587"/>
      <c r="T9" s="674"/>
      <c r="U9" s="587"/>
      <c r="V9" s="587"/>
      <c r="W9" s="423" t="s">
        <v>18</v>
      </c>
      <c r="X9" s="122" t="s">
        <v>18</v>
      </c>
      <c r="Y9" s="122"/>
      <c r="Z9" s="423"/>
      <c r="AA9" s="293"/>
      <c r="AB9" s="220"/>
      <c r="AC9" s="423" t="s">
        <v>18</v>
      </c>
      <c r="AD9" s="423" t="s">
        <v>18</v>
      </c>
      <c r="AE9" s="425"/>
      <c r="AF9" s="425"/>
      <c r="AG9" s="215">
        <f t="shared" si="0"/>
        <v>4</v>
      </c>
      <c r="AH9" s="493"/>
    </row>
    <row r="10" spans="1:34" ht="28.9" thickBot="1">
      <c r="A10" s="146" t="s">
        <v>22</v>
      </c>
      <c r="B10" s="255"/>
      <c r="C10" s="108"/>
      <c r="D10" s="117"/>
      <c r="E10" s="300">
        <v>15</v>
      </c>
      <c r="F10" s="246">
        <v>15</v>
      </c>
      <c r="G10" s="246">
        <v>0.5</v>
      </c>
      <c r="H10" s="375">
        <v>5</v>
      </c>
      <c r="I10" s="246"/>
      <c r="J10" s="117"/>
      <c r="K10" s="116">
        <v>15</v>
      </c>
      <c r="L10" s="246">
        <v>15</v>
      </c>
      <c r="M10" s="470">
        <v>0.5</v>
      </c>
      <c r="N10" s="451"/>
      <c r="O10" s="451"/>
      <c r="P10" s="451"/>
      <c r="Q10" s="452">
        <v>15</v>
      </c>
      <c r="R10" s="451">
        <v>15</v>
      </c>
      <c r="S10" s="451"/>
      <c r="T10" s="452"/>
      <c r="U10" s="451"/>
      <c r="V10" s="451"/>
      <c r="W10" s="248">
        <v>15</v>
      </c>
      <c r="X10" s="108">
        <v>15</v>
      </c>
      <c r="Y10" s="108">
        <v>0.5</v>
      </c>
      <c r="Z10" s="248"/>
      <c r="AA10" s="247"/>
      <c r="AB10" s="246"/>
      <c r="AC10" s="248">
        <v>15</v>
      </c>
      <c r="AD10" s="248">
        <v>15</v>
      </c>
      <c r="AE10" s="107">
        <v>0.5</v>
      </c>
      <c r="AF10" s="107"/>
      <c r="AG10" s="496">
        <f t="shared" si="0"/>
        <v>157</v>
      </c>
      <c r="AH10" s="491">
        <f>SUM(AG10-AG58)</f>
        <v>-8.5</v>
      </c>
    </row>
    <row r="11" spans="1:34" ht="28.9" thickBot="1">
      <c r="A11" s="187" t="s">
        <v>23</v>
      </c>
      <c r="B11" s="226"/>
      <c r="C11" s="133"/>
      <c r="D11" s="133"/>
      <c r="E11" s="228">
        <v>1</v>
      </c>
      <c r="F11" s="227">
        <v>1</v>
      </c>
      <c r="G11" s="227"/>
      <c r="H11" s="373"/>
      <c r="I11" s="227"/>
      <c r="J11" s="133"/>
      <c r="K11" s="134">
        <v>1</v>
      </c>
      <c r="L11" s="227">
        <v>1</v>
      </c>
      <c r="M11" s="472"/>
      <c r="N11" s="453"/>
      <c r="O11" s="453"/>
      <c r="P11" s="471"/>
      <c r="Q11" s="472"/>
      <c r="R11" s="453"/>
      <c r="S11" s="453"/>
      <c r="T11" s="472"/>
      <c r="U11" s="453"/>
      <c r="V11" s="472"/>
      <c r="W11" s="227">
        <v>1</v>
      </c>
      <c r="X11" s="134">
        <v>1</v>
      </c>
      <c r="Y11" s="133"/>
      <c r="Z11" s="229"/>
      <c r="AA11" s="230"/>
      <c r="AB11" s="227"/>
      <c r="AC11" s="229">
        <v>1</v>
      </c>
      <c r="AD11" s="227">
        <v>1</v>
      </c>
      <c r="AE11" s="133"/>
      <c r="AF11" s="133"/>
      <c r="AG11" s="497">
        <f t="shared" si="0"/>
        <v>8</v>
      </c>
      <c r="AH11" s="494"/>
    </row>
    <row r="12" spans="1:34" ht="28.9" hidden="1" thickBot="1">
      <c r="A12" s="173"/>
      <c r="B12" s="249"/>
      <c r="C12" s="102"/>
      <c r="D12" s="102"/>
      <c r="E12" s="246"/>
      <c r="F12" s="246"/>
      <c r="G12" s="251"/>
      <c r="H12" s="399"/>
      <c r="I12" s="251"/>
      <c r="J12" s="102"/>
      <c r="K12" s="102"/>
      <c r="L12" s="246"/>
      <c r="M12" s="247"/>
      <c r="N12" s="301"/>
      <c r="O12" s="251"/>
      <c r="P12" s="222"/>
      <c r="Q12" s="108"/>
      <c r="R12" s="113"/>
      <c r="S12" s="302"/>
      <c r="T12" s="262"/>
      <c r="U12" s="253"/>
      <c r="V12" s="379"/>
      <c r="W12" s="222"/>
      <c r="X12" s="111"/>
      <c r="Y12" s="105"/>
      <c r="Z12" s="262"/>
      <c r="AA12" s="254"/>
      <c r="AB12" s="222"/>
      <c r="AC12" s="248"/>
      <c r="AD12" s="248"/>
      <c r="AE12" s="107"/>
      <c r="AF12" s="107"/>
      <c r="AG12" s="215">
        <f t="shared" si="0"/>
        <v>0</v>
      </c>
      <c r="AH12" s="490"/>
    </row>
    <row r="13" spans="1:34" ht="28.9" hidden="1" thickBot="1">
      <c r="A13" s="146"/>
      <c r="B13" s="255"/>
      <c r="C13" s="107"/>
      <c r="D13" s="108"/>
      <c r="E13" s="246"/>
      <c r="F13" s="246"/>
      <c r="G13" s="246"/>
      <c r="H13" s="376"/>
      <c r="I13" s="248"/>
      <c r="J13" s="108"/>
      <c r="K13" s="108"/>
      <c r="L13" s="246"/>
      <c r="M13" s="247"/>
      <c r="N13" s="246"/>
      <c r="O13" s="248"/>
      <c r="P13" s="246"/>
      <c r="Q13" s="108"/>
      <c r="R13" s="113"/>
      <c r="S13" s="246"/>
      <c r="T13" s="246"/>
      <c r="U13" s="248"/>
      <c r="V13" s="376"/>
      <c r="W13" s="246"/>
      <c r="X13" s="108"/>
      <c r="Y13" s="108"/>
      <c r="Z13" s="244"/>
      <c r="AA13" s="252"/>
      <c r="AB13" s="246"/>
      <c r="AC13" s="248"/>
      <c r="AD13" s="248"/>
      <c r="AE13" s="107"/>
      <c r="AF13" s="107"/>
      <c r="AG13" s="496">
        <f t="shared" si="0"/>
        <v>0</v>
      </c>
      <c r="AH13" s="491">
        <f>SUM(AG13-AG58)</f>
        <v>-165.5</v>
      </c>
    </row>
    <row r="14" spans="1:34" ht="28.9" hidden="1" thickBot="1">
      <c r="A14" s="187"/>
      <c r="B14" s="303"/>
      <c r="C14" s="177"/>
      <c r="D14" s="177"/>
      <c r="E14" s="305"/>
      <c r="F14" s="304"/>
      <c r="G14" s="304"/>
      <c r="H14" s="398"/>
      <c r="I14" s="304"/>
      <c r="J14" s="177"/>
      <c r="K14" s="179"/>
      <c r="L14" s="304"/>
      <c r="M14" s="306"/>
      <c r="N14" s="304"/>
      <c r="O14" s="306"/>
      <c r="P14" s="304"/>
      <c r="Q14" s="179"/>
      <c r="R14" s="177"/>
      <c r="S14" s="304"/>
      <c r="T14" s="306"/>
      <c r="U14" s="304"/>
      <c r="V14" s="400"/>
      <c r="W14" s="304"/>
      <c r="X14" s="179"/>
      <c r="Y14" s="177"/>
      <c r="Z14" s="304"/>
      <c r="AA14" s="307"/>
      <c r="AB14" s="304"/>
      <c r="AC14" s="306"/>
      <c r="AD14" s="304"/>
      <c r="AE14" s="177"/>
      <c r="AF14" s="177"/>
      <c r="AG14" s="497">
        <f t="shared" si="0"/>
        <v>0</v>
      </c>
      <c r="AH14" s="494"/>
    </row>
    <row r="15" spans="1:34" ht="28.9" thickBot="1">
      <c r="A15" s="173" t="s">
        <v>24</v>
      </c>
      <c r="B15" s="249"/>
      <c r="C15" s="102" t="s">
        <v>18</v>
      </c>
      <c r="D15" s="102" t="s">
        <v>18</v>
      </c>
      <c r="E15" s="253"/>
      <c r="F15" s="246"/>
      <c r="G15" s="251"/>
      <c r="H15" s="399"/>
      <c r="I15" s="251" t="s">
        <v>18</v>
      </c>
      <c r="J15" s="102" t="s">
        <v>18</v>
      </c>
      <c r="K15" s="111"/>
      <c r="L15" s="246"/>
      <c r="M15" s="247"/>
      <c r="N15" s="251"/>
      <c r="O15" s="251" t="s">
        <v>18</v>
      </c>
      <c r="P15" s="251" t="s">
        <v>18</v>
      </c>
      <c r="Q15" s="111"/>
      <c r="R15" s="108"/>
      <c r="S15" s="252"/>
      <c r="T15" s="246"/>
      <c r="U15" s="251" t="s">
        <v>18</v>
      </c>
      <c r="V15" s="399" t="s">
        <v>18</v>
      </c>
      <c r="W15" s="253"/>
      <c r="X15" s="105"/>
      <c r="Y15" s="105"/>
      <c r="Z15" s="222"/>
      <c r="AA15" s="251" t="s">
        <v>18</v>
      </c>
      <c r="AB15" s="251" t="s">
        <v>18</v>
      </c>
      <c r="AC15" s="253"/>
      <c r="AD15" s="308"/>
      <c r="AE15" s="107"/>
      <c r="AF15" s="107"/>
      <c r="AG15" s="215">
        <f t="shared" si="0"/>
        <v>0</v>
      </c>
      <c r="AH15" s="490"/>
    </row>
    <row r="16" spans="1:34" ht="28.9" thickBot="1">
      <c r="A16" s="146" t="s">
        <v>25</v>
      </c>
      <c r="B16" s="255"/>
      <c r="C16" s="108">
        <v>15</v>
      </c>
      <c r="D16" s="108">
        <v>15</v>
      </c>
      <c r="E16" s="248">
        <v>0.5</v>
      </c>
      <c r="F16" s="246"/>
      <c r="G16" s="246"/>
      <c r="H16" s="376">
        <v>5</v>
      </c>
      <c r="I16" s="246">
        <v>15</v>
      </c>
      <c r="J16" s="108">
        <v>15</v>
      </c>
      <c r="K16" s="107">
        <v>0.5</v>
      </c>
      <c r="L16" s="246"/>
      <c r="M16" s="247"/>
      <c r="N16" s="246"/>
      <c r="O16" s="246">
        <v>15</v>
      </c>
      <c r="P16" s="246">
        <v>15</v>
      </c>
      <c r="Q16" s="107">
        <v>0.5</v>
      </c>
      <c r="R16" s="108"/>
      <c r="S16" s="252"/>
      <c r="T16" s="246"/>
      <c r="U16" s="246">
        <v>15</v>
      </c>
      <c r="V16" s="376">
        <v>15</v>
      </c>
      <c r="W16" s="248">
        <v>0.5</v>
      </c>
      <c r="X16" s="108"/>
      <c r="Y16" s="108"/>
      <c r="Z16" s="246"/>
      <c r="AA16" s="246">
        <v>15</v>
      </c>
      <c r="AB16" s="246">
        <v>15</v>
      </c>
      <c r="AC16" s="248">
        <v>0.5</v>
      </c>
      <c r="AD16" s="300"/>
      <c r="AE16" s="107"/>
      <c r="AF16" s="107"/>
      <c r="AG16" s="496">
        <f t="shared" si="0"/>
        <v>157.5</v>
      </c>
      <c r="AH16" s="491">
        <f>SUM(AG16-AG58)</f>
        <v>-8</v>
      </c>
    </row>
    <row r="17" spans="1:34" ht="25.9" customHeight="1" thickBot="1">
      <c r="A17" s="187" t="s">
        <v>23</v>
      </c>
      <c r="B17" s="226"/>
      <c r="C17" s="133">
        <v>1</v>
      </c>
      <c r="D17" s="133">
        <v>1</v>
      </c>
      <c r="E17" s="227"/>
      <c r="F17" s="227"/>
      <c r="G17" s="227"/>
      <c r="H17" s="373"/>
      <c r="I17" s="227">
        <v>1</v>
      </c>
      <c r="J17" s="133">
        <v>1</v>
      </c>
      <c r="K17" s="133"/>
      <c r="L17" s="227"/>
      <c r="M17" s="229"/>
      <c r="N17" s="227"/>
      <c r="O17" s="227">
        <v>1</v>
      </c>
      <c r="P17" s="227">
        <v>1</v>
      </c>
      <c r="Q17" s="133"/>
      <c r="R17" s="133"/>
      <c r="S17" s="227"/>
      <c r="T17" s="229"/>
      <c r="U17" s="227">
        <v>1</v>
      </c>
      <c r="V17" s="373">
        <v>1</v>
      </c>
      <c r="W17" s="227"/>
      <c r="X17" s="134"/>
      <c r="Y17" s="133"/>
      <c r="Z17" s="229"/>
      <c r="AA17" s="227">
        <v>1</v>
      </c>
      <c r="AB17" s="227">
        <v>1</v>
      </c>
      <c r="AC17" s="227"/>
      <c r="AD17" s="227"/>
      <c r="AE17" s="133"/>
      <c r="AF17" s="133"/>
      <c r="AG17" s="497">
        <f t="shared" si="0"/>
        <v>10</v>
      </c>
      <c r="AH17" s="494"/>
    </row>
    <row r="18" spans="1:34" ht="28.9" thickBot="1">
      <c r="A18" s="173" t="s">
        <v>26</v>
      </c>
      <c r="B18" s="223" t="s">
        <v>18</v>
      </c>
      <c r="C18" s="103"/>
      <c r="D18" s="103"/>
      <c r="E18" s="248"/>
      <c r="F18" s="246"/>
      <c r="G18" s="224" t="s">
        <v>18</v>
      </c>
      <c r="H18" s="372" t="s">
        <v>18</v>
      </c>
      <c r="I18" s="224"/>
      <c r="J18" s="103"/>
      <c r="K18" s="103"/>
      <c r="L18" s="297"/>
      <c r="M18" s="247" t="s">
        <v>18</v>
      </c>
      <c r="N18" s="224" t="s">
        <v>18</v>
      </c>
      <c r="O18" s="224"/>
      <c r="P18" s="246"/>
      <c r="Q18" s="107"/>
      <c r="R18" s="108"/>
      <c r="S18" s="246" t="s">
        <v>18</v>
      </c>
      <c r="T18" s="248" t="s">
        <v>18</v>
      </c>
      <c r="U18" s="246"/>
      <c r="V18" s="376"/>
      <c r="W18" s="248"/>
      <c r="X18" s="109"/>
      <c r="Y18" s="108" t="s">
        <v>18</v>
      </c>
      <c r="Z18" s="248" t="s">
        <v>18</v>
      </c>
      <c r="AA18" s="246"/>
      <c r="AB18" s="246"/>
      <c r="AC18" s="248"/>
      <c r="AD18" s="248"/>
      <c r="AE18" s="473">
        <v>2</v>
      </c>
      <c r="AF18" s="473">
        <v>2</v>
      </c>
      <c r="AG18" s="215">
        <f t="shared" si="0"/>
        <v>4</v>
      </c>
      <c r="AH18" s="490"/>
    </row>
    <row r="19" spans="1:34" ht="28.9" thickBot="1">
      <c r="A19" s="146" t="s">
        <v>27</v>
      </c>
      <c r="B19" s="255">
        <v>15</v>
      </c>
      <c r="C19" s="108">
        <v>0.5</v>
      </c>
      <c r="D19" s="108"/>
      <c r="E19" s="248"/>
      <c r="F19" s="246"/>
      <c r="G19" s="246">
        <v>15</v>
      </c>
      <c r="H19" s="375">
        <v>15</v>
      </c>
      <c r="I19" s="246">
        <v>0.5</v>
      </c>
      <c r="J19" s="108"/>
      <c r="K19" s="107"/>
      <c r="L19" s="246"/>
      <c r="M19" s="247">
        <v>15</v>
      </c>
      <c r="N19" s="246">
        <v>15</v>
      </c>
      <c r="O19" s="246">
        <v>0.5</v>
      </c>
      <c r="P19" s="246"/>
      <c r="Q19" s="107"/>
      <c r="R19" s="108"/>
      <c r="S19" s="246">
        <v>15</v>
      </c>
      <c r="T19" s="248">
        <v>15</v>
      </c>
      <c r="U19" s="246">
        <v>0.5</v>
      </c>
      <c r="V19" s="376">
        <v>5</v>
      </c>
      <c r="W19" s="248"/>
      <c r="X19" s="108"/>
      <c r="Y19" s="108">
        <v>15</v>
      </c>
      <c r="Z19" s="248">
        <v>15</v>
      </c>
      <c r="AA19" s="247">
        <v>0.5</v>
      </c>
      <c r="AB19" s="246"/>
      <c r="AC19" s="248"/>
      <c r="AD19" s="248"/>
      <c r="AE19" s="452">
        <v>15</v>
      </c>
      <c r="AF19" s="452">
        <v>15</v>
      </c>
      <c r="AG19" s="496">
        <f t="shared" si="0"/>
        <v>172.5</v>
      </c>
      <c r="AH19" s="491">
        <f>SUM(AG19-AG58)</f>
        <v>7</v>
      </c>
    </row>
    <row r="20" spans="1:34" ht="25.9" customHeight="1" thickBot="1">
      <c r="A20" s="187" t="s">
        <v>28</v>
      </c>
      <c r="B20" s="226">
        <v>1</v>
      </c>
      <c r="C20" s="133"/>
      <c r="D20" s="133"/>
      <c r="E20" s="228"/>
      <c r="F20" s="227"/>
      <c r="G20" s="227">
        <v>1</v>
      </c>
      <c r="H20" s="373">
        <v>1</v>
      </c>
      <c r="I20" s="227"/>
      <c r="J20" s="133"/>
      <c r="K20" s="134"/>
      <c r="L20" s="227"/>
      <c r="M20" s="229">
        <v>1</v>
      </c>
      <c r="N20" s="227">
        <v>1</v>
      </c>
      <c r="O20" s="227"/>
      <c r="P20" s="228"/>
      <c r="Q20" s="134"/>
      <c r="R20" s="133"/>
      <c r="S20" s="227">
        <v>1</v>
      </c>
      <c r="T20" s="229">
        <v>1</v>
      </c>
      <c r="U20" s="227"/>
      <c r="V20" s="380"/>
      <c r="W20" s="227"/>
      <c r="X20" s="134"/>
      <c r="Y20" s="133">
        <v>1</v>
      </c>
      <c r="Z20" s="229">
        <v>1</v>
      </c>
      <c r="AA20" s="230"/>
      <c r="AB20" s="227"/>
      <c r="AC20" s="229"/>
      <c r="AD20" s="227"/>
      <c r="AE20" s="453"/>
      <c r="AF20" s="453"/>
      <c r="AG20" s="497">
        <f t="shared" si="0"/>
        <v>9</v>
      </c>
      <c r="AH20" s="494"/>
    </row>
    <row r="21" spans="1:34" ht="29.45" thickBot="1">
      <c r="A21" s="173" t="s">
        <v>29</v>
      </c>
      <c r="B21" s="266"/>
      <c r="C21" s="105"/>
      <c r="D21" s="105"/>
      <c r="E21" s="253"/>
      <c r="F21" s="222" t="s">
        <v>18</v>
      </c>
      <c r="G21" s="222" t="s">
        <v>18</v>
      </c>
      <c r="H21" s="379"/>
      <c r="I21" s="222"/>
      <c r="J21" s="105"/>
      <c r="K21" s="105"/>
      <c r="L21" s="222" t="s">
        <v>18</v>
      </c>
      <c r="M21" s="256" t="s">
        <v>18</v>
      </c>
      <c r="N21" s="222"/>
      <c r="O21" s="254"/>
      <c r="P21" s="222"/>
      <c r="Q21" s="112"/>
      <c r="R21" s="105" t="s">
        <v>18</v>
      </c>
      <c r="S21" s="222" t="s">
        <v>18</v>
      </c>
      <c r="T21" s="254"/>
      <c r="U21" s="222"/>
      <c r="V21" s="383"/>
      <c r="W21" s="222"/>
      <c r="X21" s="112" t="s">
        <v>18</v>
      </c>
      <c r="Y21" s="105" t="s">
        <v>18</v>
      </c>
      <c r="Z21" s="222"/>
      <c r="AA21" s="256"/>
      <c r="AB21" s="309"/>
      <c r="AC21" s="222"/>
      <c r="AD21" s="222" t="s">
        <v>18</v>
      </c>
      <c r="AE21" s="105" t="s">
        <v>18</v>
      </c>
      <c r="AF21" s="105"/>
      <c r="AG21" s="215">
        <f t="shared" si="0"/>
        <v>0</v>
      </c>
      <c r="AH21" s="490"/>
    </row>
    <row r="22" spans="1:34" ht="28.9" thickBot="1">
      <c r="A22" s="146" t="s">
        <v>30</v>
      </c>
      <c r="B22" s="223"/>
      <c r="C22" s="103"/>
      <c r="D22" s="103"/>
      <c r="E22" s="246"/>
      <c r="F22" s="246">
        <v>15</v>
      </c>
      <c r="G22" s="224">
        <v>15</v>
      </c>
      <c r="H22" s="372">
        <v>5.5</v>
      </c>
      <c r="I22" s="224"/>
      <c r="J22" s="103"/>
      <c r="K22" s="145"/>
      <c r="L22" s="246">
        <v>15</v>
      </c>
      <c r="M22" s="247">
        <v>15</v>
      </c>
      <c r="N22" s="224">
        <v>0.5</v>
      </c>
      <c r="O22" s="224"/>
      <c r="P22" s="224"/>
      <c r="Q22" s="103"/>
      <c r="R22" s="145">
        <v>15</v>
      </c>
      <c r="S22" s="246">
        <v>15</v>
      </c>
      <c r="T22" s="246">
        <v>0.5</v>
      </c>
      <c r="U22" s="224"/>
      <c r="V22" s="372">
        <v>4</v>
      </c>
      <c r="W22" s="294"/>
      <c r="X22" s="145">
        <v>15</v>
      </c>
      <c r="Y22" s="103">
        <v>15</v>
      </c>
      <c r="Z22" s="246">
        <v>0.5</v>
      </c>
      <c r="AA22" s="247"/>
      <c r="AB22" s="224"/>
      <c r="AC22" s="257"/>
      <c r="AD22" s="224">
        <v>15</v>
      </c>
      <c r="AE22" s="115">
        <v>15</v>
      </c>
      <c r="AF22" s="115">
        <v>0.5</v>
      </c>
      <c r="AG22" s="496">
        <f t="shared" si="0"/>
        <v>161.5</v>
      </c>
      <c r="AH22" s="491">
        <f>SUM(AG22-AG58)</f>
        <v>-4</v>
      </c>
    </row>
    <row r="23" spans="1:34" ht="28.9" thickBot="1">
      <c r="A23" s="187" t="s">
        <v>28</v>
      </c>
      <c r="B23" s="303"/>
      <c r="C23" s="177"/>
      <c r="D23" s="177"/>
      <c r="E23" s="305"/>
      <c r="F23" s="304">
        <v>1</v>
      </c>
      <c r="G23" s="304">
        <v>1</v>
      </c>
      <c r="H23" s="398"/>
      <c r="I23" s="304"/>
      <c r="J23" s="177"/>
      <c r="K23" s="177"/>
      <c r="L23" s="304">
        <v>1</v>
      </c>
      <c r="M23" s="307">
        <v>1</v>
      </c>
      <c r="N23" s="304"/>
      <c r="O23" s="304"/>
      <c r="P23" s="304"/>
      <c r="Q23" s="177"/>
      <c r="R23" s="177">
        <v>1</v>
      </c>
      <c r="S23" s="304">
        <v>1</v>
      </c>
      <c r="T23" s="305"/>
      <c r="U23" s="304"/>
      <c r="V23" s="398"/>
      <c r="W23" s="305"/>
      <c r="X23" s="177">
        <v>1</v>
      </c>
      <c r="Y23" s="177">
        <v>1</v>
      </c>
      <c r="Z23" s="304"/>
      <c r="AA23" s="307"/>
      <c r="AB23" s="304"/>
      <c r="AC23" s="304"/>
      <c r="AD23" s="304">
        <v>1</v>
      </c>
      <c r="AE23" s="179">
        <v>1</v>
      </c>
      <c r="AF23" s="177"/>
      <c r="AG23" s="497">
        <f t="shared" si="0"/>
        <v>10</v>
      </c>
      <c r="AH23" s="494"/>
    </row>
    <row r="24" spans="1:34" ht="28.9" hidden="1" thickBot="1">
      <c r="A24" s="173"/>
      <c r="B24" s="255"/>
      <c r="C24" s="108"/>
      <c r="D24" s="108"/>
      <c r="E24" s="246"/>
      <c r="F24" s="246"/>
      <c r="G24" s="246"/>
      <c r="H24" s="376"/>
      <c r="I24" s="246"/>
      <c r="J24" s="607"/>
      <c r="K24" s="607"/>
      <c r="L24" s="308"/>
      <c r="M24" s="612"/>
      <c r="N24" s="302"/>
      <c r="O24" s="302"/>
      <c r="P24" s="302"/>
      <c r="Q24" s="610"/>
      <c r="R24" s="608"/>
      <c r="S24" s="246"/>
      <c r="T24" s="248"/>
      <c r="U24" s="246"/>
      <c r="V24" s="376"/>
      <c r="W24" s="224"/>
      <c r="X24" s="107"/>
      <c r="Y24" s="108"/>
      <c r="Z24" s="246"/>
      <c r="AA24" s="247"/>
      <c r="AB24" s="246"/>
      <c r="AC24" s="246"/>
      <c r="AD24" s="246"/>
      <c r="AE24" s="107"/>
      <c r="AF24" s="107"/>
      <c r="AG24" s="215">
        <f t="shared" si="0"/>
        <v>0</v>
      </c>
      <c r="AH24" s="490"/>
    </row>
    <row r="25" spans="1:34" ht="28.9" hidden="1" thickBot="1">
      <c r="A25" s="146"/>
      <c r="B25" s="255"/>
      <c r="C25" s="108"/>
      <c r="D25" s="108"/>
      <c r="E25" s="248"/>
      <c r="F25" s="246"/>
      <c r="G25" s="246"/>
      <c r="H25" s="376"/>
      <c r="I25" s="246"/>
      <c r="J25" s="608"/>
      <c r="K25" s="608"/>
      <c r="L25" s="246"/>
      <c r="M25" s="247"/>
      <c r="N25" s="246"/>
      <c r="O25" s="246"/>
      <c r="P25" s="246"/>
      <c r="Q25" s="608"/>
      <c r="R25" s="608"/>
      <c r="S25" s="246"/>
      <c r="T25" s="248"/>
      <c r="U25" s="246"/>
      <c r="V25" s="376"/>
      <c r="W25" s="248"/>
      <c r="X25" s="108"/>
      <c r="Y25" s="108"/>
      <c r="Z25" s="246"/>
      <c r="AA25" s="247"/>
      <c r="AB25" s="246"/>
      <c r="AC25" s="224"/>
      <c r="AD25" s="246"/>
      <c r="AE25" s="107"/>
      <c r="AF25" s="107"/>
      <c r="AG25" s="496">
        <f t="shared" si="0"/>
        <v>0</v>
      </c>
      <c r="AH25" s="491">
        <f>SUM(AG25-AG58)</f>
        <v>-165.5</v>
      </c>
    </row>
    <row r="26" spans="1:34" ht="29.45" hidden="1" thickBot="1">
      <c r="A26" s="187"/>
      <c r="B26" s="226"/>
      <c r="C26" s="133"/>
      <c r="D26" s="133"/>
      <c r="E26" s="228"/>
      <c r="F26" s="227"/>
      <c r="G26" s="227"/>
      <c r="H26" s="373"/>
      <c r="I26" s="227"/>
      <c r="J26" s="609"/>
      <c r="K26" s="609"/>
      <c r="L26" s="228"/>
      <c r="M26" s="229"/>
      <c r="N26" s="227"/>
      <c r="O26" s="229"/>
      <c r="P26" s="227"/>
      <c r="Q26" s="611"/>
      <c r="R26" s="609"/>
      <c r="S26" s="227"/>
      <c r="T26" s="229"/>
      <c r="U26" s="227"/>
      <c r="V26" s="395"/>
      <c r="W26" s="227"/>
      <c r="X26" s="133"/>
      <c r="Y26" s="133"/>
      <c r="Z26" s="227"/>
      <c r="AA26" s="310"/>
      <c r="AB26" s="227"/>
      <c r="AC26" s="227"/>
      <c r="AD26" s="227"/>
      <c r="AE26" s="135"/>
      <c r="AF26" s="135"/>
      <c r="AG26" s="497">
        <f t="shared" si="0"/>
        <v>0</v>
      </c>
      <c r="AH26" s="494"/>
    </row>
    <row r="27" spans="1:34" ht="28.9" thickBot="1">
      <c r="A27" s="465" t="s">
        <v>31</v>
      </c>
      <c r="B27" s="266" t="s">
        <v>18</v>
      </c>
      <c r="C27" s="105"/>
      <c r="D27" s="105" t="s">
        <v>18</v>
      </c>
      <c r="E27" s="222" t="s">
        <v>18</v>
      </c>
      <c r="F27" s="256"/>
      <c r="G27" s="222"/>
      <c r="H27" s="379"/>
      <c r="I27" s="222"/>
      <c r="J27" s="105" t="s">
        <v>18</v>
      </c>
      <c r="K27" s="105" t="s">
        <v>18</v>
      </c>
      <c r="L27" s="256"/>
      <c r="M27" s="222"/>
      <c r="N27" s="222"/>
      <c r="O27" s="254"/>
      <c r="P27" s="222" t="s">
        <v>18</v>
      </c>
      <c r="Q27" s="105" t="s">
        <v>18</v>
      </c>
      <c r="R27" s="106"/>
      <c r="S27" s="222"/>
      <c r="T27" s="254"/>
      <c r="U27" s="222"/>
      <c r="V27" s="383" t="s">
        <v>18</v>
      </c>
      <c r="W27" s="222" t="s">
        <v>18</v>
      </c>
      <c r="X27" s="106"/>
      <c r="Y27" s="105"/>
      <c r="Z27" s="222"/>
      <c r="AA27" s="256"/>
      <c r="AB27" s="219" t="s">
        <v>18</v>
      </c>
      <c r="AC27" s="222" t="s">
        <v>18</v>
      </c>
      <c r="AD27" s="256"/>
      <c r="AE27" s="105"/>
      <c r="AF27" s="105"/>
      <c r="AG27" s="215">
        <f t="shared" si="0"/>
        <v>0</v>
      </c>
      <c r="AH27" s="490"/>
    </row>
    <row r="28" spans="1:34" ht="28.9" thickBot="1">
      <c r="A28" s="146" t="s">
        <v>33</v>
      </c>
      <c r="B28" s="223">
        <v>15</v>
      </c>
      <c r="C28" s="103">
        <v>0.5</v>
      </c>
      <c r="D28" s="103">
        <v>15</v>
      </c>
      <c r="E28" s="246">
        <v>15</v>
      </c>
      <c r="F28" s="247">
        <v>0.5</v>
      </c>
      <c r="G28" s="224"/>
      <c r="H28" s="372">
        <v>4</v>
      </c>
      <c r="I28" s="224" t="s">
        <v>32</v>
      </c>
      <c r="J28" s="103">
        <v>15</v>
      </c>
      <c r="K28" s="108">
        <v>15</v>
      </c>
      <c r="L28" s="247">
        <v>0.5</v>
      </c>
      <c r="M28" s="224"/>
      <c r="N28" s="224"/>
      <c r="O28" s="224"/>
      <c r="P28" s="224">
        <v>15</v>
      </c>
      <c r="Q28" s="108">
        <v>15</v>
      </c>
      <c r="R28" s="109">
        <v>0.5</v>
      </c>
      <c r="S28" s="224"/>
      <c r="T28" s="246"/>
      <c r="U28" s="224"/>
      <c r="V28" s="372">
        <v>15</v>
      </c>
      <c r="W28" s="246">
        <v>15</v>
      </c>
      <c r="X28" s="109">
        <v>0.5</v>
      </c>
      <c r="Y28" s="103"/>
      <c r="Z28" s="246"/>
      <c r="AA28" s="247"/>
      <c r="AB28" s="224">
        <v>15</v>
      </c>
      <c r="AC28" s="246">
        <v>15</v>
      </c>
      <c r="AD28" s="247">
        <v>0.5</v>
      </c>
      <c r="AE28" s="103"/>
      <c r="AF28" s="115"/>
      <c r="AG28" s="496">
        <f t="shared" si="0"/>
        <v>172</v>
      </c>
      <c r="AH28" s="491">
        <f>SUM(AG28-AG58)</f>
        <v>6.5</v>
      </c>
    </row>
    <row r="29" spans="1:34" ht="25.9" customHeight="1" thickBot="1">
      <c r="A29" s="188" t="s">
        <v>34</v>
      </c>
      <c r="B29" s="226">
        <v>1</v>
      </c>
      <c r="C29" s="133"/>
      <c r="D29" s="133">
        <v>1</v>
      </c>
      <c r="E29" s="304">
        <v>1</v>
      </c>
      <c r="F29" s="307"/>
      <c r="G29" s="304"/>
      <c r="H29" s="373"/>
      <c r="I29" s="227"/>
      <c r="J29" s="133">
        <v>1</v>
      </c>
      <c r="K29" s="177">
        <v>1</v>
      </c>
      <c r="L29" s="307"/>
      <c r="M29" s="304"/>
      <c r="N29" s="227"/>
      <c r="O29" s="227"/>
      <c r="P29" s="227">
        <v>1</v>
      </c>
      <c r="Q29" s="177">
        <v>1</v>
      </c>
      <c r="R29" s="343"/>
      <c r="S29" s="304"/>
      <c r="T29" s="228"/>
      <c r="U29" s="227"/>
      <c r="V29" s="373">
        <v>1</v>
      </c>
      <c r="W29" s="304">
        <v>1</v>
      </c>
      <c r="X29" s="343"/>
      <c r="Y29" s="177"/>
      <c r="Z29" s="227"/>
      <c r="AA29" s="230"/>
      <c r="AB29" s="227">
        <v>1</v>
      </c>
      <c r="AC29" s="304">
        <v>1</v>
      </c>
      <c r="AD29" s="307"/>
      <c r="AE29" s="177"/>
      <c r="AF29" s="133"/>
      <c r="AG29" s="320">
        <f t="shared" si="0"/>
        <v>11</v>
      </c>
      <c r="AH29" s="494"/>
    </row>
    <row r="30" spans="1:34" ht="28.9" thickBot="1">
      <c r="A30" s="173" t="s">
        <v>35</v>
      </c>
      <c r="B30" s="223"/>
      <c r="C30" s="103" t="s">
        <v>18</v>
      </c>
      <c r="D30" s="103"/>
      <c r="E30" s="248"/>
      <c r="F30" s="246"/>
      <c r="G30" s="224"/>
      <c r="H30" s="372" t="s">
        <v>18</v>
      </c>
      <c r="I30" s="224" t="s">
        <v>18</v>
      </c>
      <c r="J30" s="103"/>
      <c r="K30" s="103"/>
      <c r="L30" s="297"/>
      <c r="M30" s="247"/>
      <c r="N30" s="224" t="s">
        <v>18</v>
      </c>
      <c r="O30" s="224" t="s">
        <v>18</v>
      </c>
      <c r="P30" s="246"/>
      <c r="Q30" s="107"/>
      <c r="R30" s="108"/>
      <c r="S30" s="246"/>
      <c r="T30" s="248" t="s">
        <v>18</v>
      </c>
      <c r="U30" s="246" t="s">
        <v>18</v>
      </c>
      <c r="V30" s="376"/>
      <c r="W30" s="248"/>
      <c r="X30" s="109"/>
      <c r="Y30" s="108"/>
      <c r="Z30" s="248" t="s">
        <v>18</v>
      </c>
      <c r="AA30" s="246" t="s">
        <v>18</v>
      </c>
      <c r="AB30" s="246"/>
      <c r="AC30" s="248"/>
      <c r="AD30" s="248"/>
      <c r="AE30" s="107"/>
      <c r="AF30" s="107" t="s">
        <v>18</v>
      </c>
      <c r="AG30" s="215">
        <f t="shared" si="0"/>
        <v>0</v>
      </c>
      <c r="AH30" s="490"/>
    </row>
    <row r="31" spans="1:34" ht="28.9" thickBot="1">
      <c r="A31" s="146" t="s">
        <v>36</v>
      </c>
      <c r="B31" s="255"/>
      <c r="C31" s="108">
        <v>15</v>
      </c>
      <c r="D31" s="108">
        <v>0.5</v>
      </c>
      <c r="E31" s="248"/>
      <c r="F31" s="246"/>
      <c r="G31" s="246"/>
      <c r="H31" s="375">
        <v>15</v>
      </c>
      <c r="I31" s="246">
        <v>15</v>
      </c>
      <c r="J31" s="108">
        <v>0.5</v>
      </c>
      <c r="K31" s="107"/>
      <c r="L31" s="246"/>
      <c r="M31" s="247"/>
      <c r="N31" s="246">
        <v>15</v>
      </c>
      <c r="O31" s="246">
        <v>15</v>
      </c>
      <c r="P31" s="246">
        <v>0.5</v>
      </c>
      <c r="Q31" s="107"/>
      <c r="R31" s="108"/>
      <c r="S31" s="246"/>
      <c r="T31" s="248">
        <v>15</v>
      </c>
      <c r="U31" s="246">
        <v>15</v>
      </c>
      <c r="V31" s="376">
        <v>4.5</v>
      </c>
      <c r="W31" s="248"/>
      <c r="X31" s="108"/>
      <c r="Y31" s="108"/>
      <c r="Z31" s="248">
        <v>15</v>
      </c>
      <c r="AA31" s="247">
        <v>15</v>
      </c>
      <c r="AB31" s="246">
        <v>0.5</v>
      </c>
      <c r="AC31" s="248"/>
      <c r="AD31" s="248"/>
      <c r="AE31" s="107"/>
      <c r="AF31" s="107">
        <v>15</v>
      </c>
      <c r="AG31" s="496">
        <f>SUM(B31:AF31)</f>
        <v>156.5</v>
      </c>
      <c r="AH31" s="491">
        <f>SUM(AG31-AG58)</f>
        <v>-9</v>
      </c>
    </row>
    <row r="32" spans="1:34" ht="28.9" thickBot="1">
      <c r="A32" s="187" t="s">
        <v>34</v>
      </c>
      <c r="B32" s="226"/>
      <c r="C32" s="133">
        <v>1</v>
      </c>
      <c r="D32" s="133"/>
      <c r="E32" s="228"/>
      <c r="F32" s="227"/>
      <c r="G32" s="227"/>
      <c r="H32" s="373">
        <v>1</v>
      </c>
      <c r="I32" s="227">
        <v>1</v>
      </c>
      <c r="J32" s="133"/>
      <c r="K32" s="134"/>
      <c r="L32" s="227"/>
      <c r="M32" s="229"/>
      <c r="N32" s="227">
        <v>1</v>
      </c>
      <c r="O32" s="227">
        <v>1</v>
      </c>
      <c r="P32" s="228"/>
      <c r="Q32" s="134"/>
      <c r="R32" s="133"/>
      <c r="S32" s="227"/>
      <c r="T32" s="229">
        <v>1</v>
      </c>
      <c r="U32" s="227">
        <v>1</v>
      </c>
      <c r="V32" s="380"/>
      <c r="W32" s="227"/>
      <c r="X32" s="134"/>
      <c r="Y32" s="133"/>
      <c r="Z32" s="229">
        <v>1</v>
      </c>
      <c r="AA32" s="230">
        <v>1</v>
      </c>
      <c r="AB32" s="227"/>
      <c r="AC32" s="229"/>
      <c r="AD32" s="227"/>
      <c r="AE32" s="133"/>
      <c r="AF32" s="133">
        <v>1</v>
      </c>
      <c r="AG32" s="497">
        <f>SUM(B32:AF32)</f>
        <v>10</v>
      </c>
      <c r="AH32" s="492"/>
    </row>
    <row r="33" spans="1:35" ht="28.9" thickBot="1">
      <c r="A33" s="173" t="s">
        <v>37</v>
      </c>
      <c r="B33" s="249"/>
      <c r="C33" s="102"/>
      <c r="D33" s="102"/>
      <c r="E33" s="222"/>
      <c r="F33" s="253"/>
      <c r="G33" s="251"/>
      <c r="H33" s="251"/>
      <c r="I33" s="251"/>
      <c r="J33" s="102"/>
      <c r="K33" s="102"/>
      <c r="L33" s="253"/>
      <c r="M33" s="256"/>
      <c r="N33" s="251"/>
      <c r="O33" s="251"/>
      <c r="P33" s="222"/>
      <c r="Q33" s="105"/>
      <c r="R33" s="111"/>
      <c r="S33" s="222"/>
      <c r="T33" s="222"/>
      <c r="U33" s="222"/>
      <c r="V33" s="222"/>
      <c r="W33" s="222"/>
      <c r="X33" s="111"/>
      <c r="Y33" s="105"/>
      <c r="Z33" s="256"/>
      <c r="AA33" s="256"/>
      <c r="AB33" s="222"/>
      <c r="AC33" s="222"/>
      <c r="AD33" s="222"/>
      <c r="AE33" s="111"/>
      <c r="AF33" s="111"/>
      <c r="AG33" s="215">
        <v>0</v>
      </c>
      <c r="AH33" s="488"/>
    </row>
    <row r="34" spans="1:35" ht="28.9" thickBot="1">
      <c r="A34" s="146" t="s">
        <v>38</v>
      </c>
      <c r="B34" s="255"/>
      <c r="C34" s="108"/>
      <c r="D34" s="108"/>
      <c r="E34" s="246"/>
      <c r="F34" s="248"/>
      <c r="G34" s="246"/>
      <c r="H34" s="246"/>
      <c r="I34" s="248"/>
      <c r="J34" s="108"/>
      <c r="K34" s="108"/>
      <c r="L34" s="248"/>
      <c r="M34" s="247"/>
      <c r="N34" s="246"/>
      <c r="O34" s="248"/>
      <c r="P34" s="246"/>
      <c r="Q34" s="108"/>
      <c r="R34" s="107"/>
      <c r="S34" s="246"/>
      <c r="T34" s="246"/>
      <c r="U34" s="246"/>
      <c r="V34" s="246"/>
      <c r="W34" s="246"/>
      <c r="X34" s="107"/>
      <c r="Y34" s="108"/>
      <c r="Z34" s="247"/>
      <c r="AA34" s="247"/>
      <c r="AB34" s="246"/>
      <c r="AC34" s="246"/>
      <c r="AD34" s="246"/>
      <c r="AE34" s="107"/>
      <c r="AF34" s="107"/>
      <c r="AG34" s="496">
        <f>SUM(B34:AF34)</f>
        <v>0</v>
      </c>
      <c r="AH34" s="495"/>
    </row>
    <row r="35" spans="1:35" ht="28.9" thickBot="1">
      <c r="A35" s="187" t="s">
        <v>39</v>
      </c>
      <c r="B35" s="226"/>
      <c r="C35" s="133"/>
      <c r="D35" s="133"/>
      <c r="E35" s="227"/>
      <c r="F35" s="227"/>
      <c r="G35" s="227"/>
      <c r="H35" s="227"/>
      <c r="I35" s="227"/>
      <c r="J35" s="133"/>
      <c r="K35" s="133"/>
      <c r="L35" s="227"/>
      <c r="M35" s="230"/>
      <c r="N35" s="227"/>
      <c r="O35" s="227"/>
      <c r="P35" s="227"/>
      <c r="Q35" s="134"/>
      <c r="R35" s="133"/>
      <c r="S35" s="227"/>
      <c r="T35" s="227"/>
      <c r="U35" s="227"/>
      <c r="V35" s="227"/>
      <c r="W35" s="227"/>
      <c r="X35" s="134"/>
      <c r="Y35" s="133"/>
      <c r="Z35" s="227"/>
      <c r="AA35" s="230"/>
      <c r="AB35" s="227"/>
      <c r="AC35" s="227"/>
      <c r="AD35" s="227"/>
      <c r="AE35" s="133"/>
      <c r="AF35" s="133"/>
      <c r="AG35" s="497">
        <f>SUM(B35:AF35)</f>
        <v>0</v>
      </c>
      <c r="AH35" s="489"/>
    </row>
    <row r="36" spans="1:35" ht="28.9" thickBot="1">
      <c r="A36" s="173"/>
      <c r="B36" s="249"/>
      <c r="C36" s="102"/>
      <c r="D36" s="102"/>
      <c r="E36" s="222"/>
      <c r="F36" s="253"/>
      <c r="G36" s="251"/>
      <c r="H36" s="251"/>
      <c r="I36" s="251"/>
      <c r="J36" s="102"/>
      <c r="K36" s="102"/>
      <c r="L36" s="253"/>
      <c r="M36" s="256"/>
      <c r="N36" s="251"/>
      <c r="O36" s="251"/>
      <c r="P36" s="222"/>
      <c r="Q36" s="105"/>
      <c r="R36" s="111"/>
      <c r="S36" s="222"/>
      <c r="T36" s="222"/>
      <c r="U36" s="222"/>
      <c r="V36" s="222"/>
      <c r="W36" s="222"/>
      <c r="X36" s="111"/>
      <c r="Y36" s="105"/>
      <c r="Z36" s="256"/>
      <c r="AA36" s="256"/>
      <c r="AB36" s="222"/>
      <c r="AC36" s="222"/>
      <c r="AD36" s="222"/>
      <c r="AE36" s="111"/>
      <c r="AF36" s="111"/>
      <c r="AG36" s="215">
        <v>0</v>
      </c>
      <c r="AH36" s="488"/>
    </row>
    <row r="37" spans="1:35" ht="28.9" thickBot="1">
      <c r="A37" s="146"/>
      <c r="B37" s="255"/>
      <c r="C37" s="108"/>
      <c r="D37" s="108"/>
      <c r="E37" s="246"/>
      <c r="F37" s="248"/>
      <c r="G37" s="246"/>
      <c r="H37" s="246"/>
      <c r="I37" s="248"/>
      <c r="J37" s="108"/>
      <c r="K37" s="108"/>
      <c r="L37" s="248"/>
      <c r="M37" s="247"/>
      <c r="N37" s="246"/>
      <c r="O37" s="248"/>
      <c r="P37" s="246"/>
      <c r="Q37" s="108"/>
      <c r="R37" s="107"/>
      <c r="S37" s="246"/>
      <c r="T37" s="246"/>
      <c r="U37" s="246"/>
      <c r="V37" s="246"/>
      <c r="W37" s="246"/>
      <c r="X37" s="107"/>
      <c r="Y37" s="108"/>
      <c r="Z37" s="247"/>
      <c r="AA37" s="247"/>
      <c r="AB37" s="246"/>
      <c r="AC37" s="246"/>
      <c r="AD37" s="246"/>
      <c r="AE37" s="107"/>
      <c r="AF37" s="107"/>
      <c r="AG37" s="496">
        <f>SUM(B37:AF37)</f>
        <v>0</v>
      </c>
      <c r="AH37" s="495"/>
      <c r="AI37" s="152"/>
    </row>
    <row r="38" spans="1:35" ht="28.9" thickBot="1">
      <c r="A38" s="187"/>
      <c r="B38" s="226"/>
      <c r="C38" s="133"/>
      <c r="D38" s="133"/>
      <c r="E38" s="227"/>
      <c r="F38" s="227"/>
      <c r="G38" s="227"/>
      <c r="H38" s="227"/>
      <c r="I38" s="227"/>
      <c r="J38" s="133"/>
      <c r="K38" s="133"/>
      <c r="L38" s="227"/>
      <c r="M38" s="230"/>
      <c r="N38" s="227"/>
      <c r="O38" s="227"/>
      <c r="P38" s="227"/>
      <c r="Q38" s="134"/>
      <c r="R38" s="133"/>
      <c r="S38" s="227"/>
      <c r="T38" s="227"/>
      <c r="U38" s="227"/>
      <c r="V38" s="227"/>
      <c r="W38" s="227"/>
      <c r="X38" s="134"/>
      <c r="Y38" s="133"/>
      <c r="Z38" s="227"/>
      <c r="AA38" s="230"/>
      <c r="AB38" s="227"/>
      <c r="AC38" s="227"/>
      <c r="AD38" s="227"/>
      <c r="AE38" s="133"/>
      <c r="AF38" s="133"/>
      <c r="AG38" s="497">
        <f>SUM(B38:AF38)</f>
        <v>0</v>
      </c>
      <c r="AH38" s="489"/>
      <c r="AI38" s="152"/>
    </row>
    <row r="39" spans="1:35" ht="28.9" thickBot="1">
      <c r="A39" s="173"/>
      <c r="B39" s="249"/>
      <c r="C39" s="102"/>
      <c r="D39" s="102"/>
      <c r="E39" s="222"/>
      <c r="F39" s="253"/>
      <c r="G39" s="251"/>
      <c r="H39" s="251"/>
      <c r="I39" s="251"/>
      <c r="J39" s="102"/>
      <c r="K39" s="102"/>
      <c r="L39" s="253"/>
      <c r="M39" s="256"/>
      <c r="N39" s="251"/>
      <c r="O39" s="251"/>
      <c r="P39" s="222"/>
      <c r="Q39" s="105"/>
      <c r="R39" s="111"/>
      <c r="S39" s="222"/>
      <c r="T39" s="222"/>
      <c r="U39" s="222"/>
      <c r="V39" s="222"/>
      <c r="W39" s="222"/>
      <c r="X39" s="111"/>
      <c r="Y39" s="105"/>
      <c r="Z39" s="256"/>
      <c r="AA39" s="256"/>
      <c r="AB39" s="222"/>
      <c r="AC39" s="222"/>
      <c r="AD39" s="222"/>
      <c r="AE39" s="111"/>
      <c r="AF39" s="111"/>
      <c r="AG39" s="215">
        <v>0</v>
      </c>
      <c r="AH39" s="549"/>
      <c r="AI39" s="152"/>
    </row>
    <row r="40" spans="1:35" ht="28.9" thickBot="1">
      <c r="A40" s="146"/>
      <c r="B40" s="255"/>
      <c r="C40" s="108"/>
      <c r="D40" s="108"/>
      <c r="E40" s="246"/>
      <c r="F40" s="248"/>
      <c r="G40" s="246"/>
      <c r="H40" s="246"/>
      <c r="I40" s="248"/>
      <c r="J40" s="108"/>
      <c r="K40" s="108"/>
      <c r="L40" s="248"/>
      <c r="M40" s="247"/>
      <c r="N40" s="246"/>
      <c r="O40" s="248"/>
      <c r="P40" s="246"/>
      <c r="Q40" s="108"/>
      <c r="R40" s="107"/>
      <c r="S40" s="246"/>
      <c r="T40" s="246"/>
      <c r="U40" s="246"/>
      <c r="V40" s="246"/>
      <c r="W40" s="246"/>
      <c r="X40" s="107"/>
      <c r="Y40" s="108"/>
      <c r="Z40" s="247"/>
      <c r="AA40" s="247"/>
      <c r="AB40" s="246"/>
      <c r="AC40" s="246"/>
      <c r="AD40" s="246"/>
      <c r="AE40" s="107"/>
      <c r="AF40" s="107"/>
      <c r="AG40" s="496">
        <f>SUM(B40:AF40)</f>
        <v>0</v>
      </c>
      <c r="AH40" s="550"/>
    </row>
    <row r="41" spans="1:35" ht="28.9" customHeight="1" thickBot="1">
      <c r="A41" s="190"/>
      <c r="B41" s="226"/>
      <c r="C41" s="133"/>
      <c r="D41" s="133"/>
      <c r="E41" s="227"/>
      <c r="F41" s="227"/>
      <c r="G41" s="227"/>
      <c r="H41" s="227"/>
      <c r="I41" s="227"/>
      <c r="J41" s="133"/>
      <c r="K41" s="133"/>
      <c r="L41" s="227"/>
      <c r="M41" s="230"/>
      <c r="N41" s="227"/>
      <c r="O41" s="227"/>
      <c r="P41" s="227"/>
      <c r="Q41" s="134"/>
      <c r="R41" s="133"/>
      <c r="S41" s="227"/>
      <c r="T41" s="227"/>
      <c r="U41" s="227"/>
      <c r="V41" s="227"/>
      <c r="W41" s="227"/>
      <c r="X41" s="134"/>
      <c r="Y41" s="133"/>
      <c r="Z41" s="227"/>
      <c r="AA41" s="230"/>
      <c r="AB41" s="227"/>
      <c r="AC41" s="227"/>
      <c r="AD41" s="227"/>
      <c r="AE41" s="133"/>
      <c r="AF41" s="133"/>
      <c r="AG41" s="497">
        <f>SUM(B41:AF41)</f>
        <v>0</v>
      </c>
      <c r="AH41" s="551"/>
    </row>
    <row r="42" spans="1:35" ht="28.9" thickBot="1">
      <c r="A42" s="173"/>
      <c r="B42" s="249"/>
      <c r="C42" s="102"/>
      <c r="D42" s="102"/>
      <c r="E42" s="222"/>
      <c r="F42" s="253"/>
      <c r="G42" s="251"/>
      <c r="H42" s="251"/>
      <c r="I42" s="251"/>
      <c r="J42" s="102"/>
      <c r="K42" s="102"/>
      <c r="L42" s="253"/>
      <c r="M42" s="256"/>
      <c r="N42" s="251"/>
      <c r="O42" s="251"/>
      <c r="P42" s="222"/>
      <c r="Q42" s="105"/>
      <c r="R42" s="111"/>
      <c r="S42" s="222"/>
      <c r="T42" s="222"/>
      <c r="U42" s="222"/>
      <c r="V42" s="222"/>
      <c r="W42" s="222"/>
      <c r="X42" s="111"/>
      <c r="Y42" s="105"/>
      <c r="Z42" s="256"/>
      <c r="AA42" s="256"/>
      <c r="AB42" s="222"/>
      <c r="AC42" s="222"/>
      <c r="AD42" s="222"/>
      <c r="AE42" s="111"/>
      <c r="AF42" s="111"/>
      <c r="AG42" s="215">
        <v>0</v>
      </c>
      <c r="AH42" s="551"/>
    </row>
    <row r="43" spans="1:35" ht="28.9" thickBot="1">
      <c r="A43" s="146"/>
      <c r="B43" s="255"/>
      <c r="C43" s="108"/>
      <c r="D43" s="108"/>
      <c r="E43" s="246"/>
      <c r="F43" s="248"/>
      <c r="G43" s="246"/>
      <c r="H43" s="246"/>
      <c r="I43" s="248"/>
      <c r="J43" s="108"/>
      <c r="K43" s="108"/>
      <c r="L43" s="248"/>
      <c r="M43" s="247"/>
      <c r="N43" s="246"/>
      <c r="O43" s="248"/>
      <c r="P43" s="246"/>
      <c r="Q43" s="108"/>
      <c r="R43" s="107"/>
      <c r="S43" s="246"/>
      <c r="T43" s="246"/>
      <c r="U43" s="246"/>
      <c r="V43" s="246"/>
      <c r="W43" s="246"/>
      <c r="X43" s="107"/>
      <c r="Y43" s="108"/>
      <c r="Z43" s="247"/>
      <c r="AA43" s="247"/>
      <c r="AB43" s="246"/>
      <c r="AC43" s="246"/>
      <c r="AD43" s="246"/>
      <c r="AE43" s="107"/>
      <c r="AF43" s="107"/>
      <c r="AG43" s="496">
        <f>SUM(B43:AF43)</f>
        <v>0</v>
      </c>
      <c r="AH43" s="550"/>
    </row>
    <row r="44" spans="1:35" ht="28.9" thickBot="1">
      <c r="A44" s="190"/>
      <c r="B44" s="226"/>
      <c r="C44" s="133"/>
      <c r="D44" s="133"/>
      <c r="E44" s="227"/>
      <c r="F44" s="227"/>
      <c r="G44" s="227"/>
      <c r="H44" s="227"/>
      <c r="I44" s="227"/>
      <c r="J44" s="133"/>
      <c r="K44" s="133"/>
      <c r="L44" s="227"/>
      <c r="M44" s="230"/>
      <c r="N44" s="227"/>
      <c r="O44" s="227"/>
      <c r="P44" s="227"/>
      <c r="Q44" s="134"/>
      <c r="R44" s="133"/>
      <c r="S44" s="227"/>
      <c r="T44" s="227"/>
      <c r="U44" s="227"/>
      <c r="V44" s="227"/>
      <c r="W44" s="227"/>
      <c r="X44" s="134"/>
      <c r="Y44" s="133"/>
      <c r="Z44" s="227"/>
      <c r="AA44" s="230"/>
      <c r="AB44" s="227"/>
      <c r="AC44" s="227"/>
      <c r="AD44" s="227"/>
      <c r="AE44" s="133"/>
      <c r="AF44" s="133"/>
      <c r="AG44" s="497">
        <f>SUM(B44:AF44)</f>
        <v>0</v>
      </c>
      <c r="AH44" s="551"/>
    </row>
    <row r="45" spans="1:35" ht="28.9" thickBot="1">
      <c r="A45" s="173"/>
      <c r="B45" s="249"/>
      <c r="C45" s="102"/>
      <c r="D45" s="102"/>
      <c r="E45" s="222"/>
      <c r="F45" s="253"/>
      <c r="G45" s="251"/>
      <c r="H45" s="251"/>
      <c r="I45" s="251"/>
      <c r="J45" s="102"/>
      <c r="K45" s="102"/>
      <c r="L45" s="253"/>
      <c r="M45" s="256"/>
      <c r="N45" s="251"/>
      <c r="O45" s="251"/>
      <c r="P45" s="222"/>
      <c r="Q45" s="105"/>
      <c r="R45" s="111"/>
      <c r="S45" s="222"/>
      <c r="T45" s="222"/>
      <c r="U45" s="222"/>
      <c r="V45" s="222"/>
      <c r="W45" s="222"/>
      <c r="X45" s="111"/>
      <c r="Y45" s="105"/>
      <c r="Z45" s="256"/>
      <c r="AA45" s="256"/>
      <c r="AB45" s="222"/>
      <c r="AC45" s="222"/>
      <c r="AD45" s="222"/>
      <c r="AE45" s="111"/>
      <c r="AF45" s="111"/>
      <c r="AG45" s="215">
        <v>0</v>
      </c>
      <c r="AH45" s="551"/>
    </row>
    <row r="46" spans="1:35" ht="28.9" thickBot="1">
      <c r="A46" s="146"/>
      <c r="B46" s="255"/>
      <c r="C46" s="108"/>
      <c r="D46" s="108"/>
      <c r="E46" s="246"/>
      <c r="F46" s="248"/>
      <c r="G46" s="246"/>
      <c r="H46" s="246"/>
      <c r="I46" s="248"/>
      <c r="J46" s="108"/>
      <c r="K46" s="108"/>
      <c r="L46" s="248"/>
      <c r="M46" s="247"/>
      <c r="N46" s="246"/>
      <c r="O46" s="248"/>
      <c r="P46" s="246"/>
      <c r="Q46" s="108"/>
      <c r="R46" s="107"/>
      <c r="S46" s="246"/>
      <c r="T46" s="246"/>
      <c r="U46" s="246"/>
      <c r="V46" s="246"/>
      <c r="W46" s="246"/>
      <c r="X46" s="107"/>
      <c r="Y46" s="108"/>
      <c r="Z46" s="247"/>
      <c r="AA46" s="247"/>
      <c r="AB46" s="246"/>
      <c r="AC46" s="246"/>
      <c r="AD46" s="246"/>
      <c r="AE46" s="107"/>
      <c r="AF46" s="107"/>
      <c r="AG46" s="496">
        <f>SUM(B46:AF46)</f>
        <v>0</v>
      </c>
      <c r="AH46" s="550"/>
    </row>
    <row r="47" spans="1:35" ht="28.9" thickBot="1">
      <c r="A47" s="190"/>
      <c r="B47" s="226"/>
      <c r="C47" s="133"/>
      <c r="D47" s="133"/>
      <c r="E47" s="227"/>
      <c r="F47" s="227"/>
      <c r="G47" s="227"/>
      <c r="H47" s="227"/>
      <c r="I47" s="227"/>
      <c r="J47" s="133"/>
      <c r="K47" s="133"/>
      <c r="L47" s="227"/>
      <c r="M47" s="230"/>
      <c r="N47" s="227"/>
      <c r="O47" s="227"/>
      <c r="P47" s="227"/>
      <c r="Q47" s="134"/>
      <c r="R47" s="133"/>
      <c r="S47" s="227"/>
      <c r="T47" s="227"/>
      <c r="U47" s="227"/>
      <c r="V47" s="227"/>
      <c r="W47" s="227"/>
      <c r="X47" s="134"/>
      <c r="Y47" s="133"/>
      <c r="Z47" s="227"/>
      <c r="AA47" s="230"/>
      <c r="AB47" s="227"/>
      <c r="AC47" s="227"/>
      <c r="AD47" s="227"/>
      <c r="AE47" s="133"/>
      <c r="AF47" s="133"/>
      <c r="AG47" s="497">
        <f>SUM(B47:AF47)</f>
        <v>0</v>
      </c>
      <c r="AH47" s="551"/>
    </row>
    <row r="48" spans="1:35" ht="28.9" hidden="1" thickBot="1">
      <c r="A48" s="173"/>
      <c r="B48" s="249"/>
      <c r="C48" s="102"/>
      <c r="D48" s="102"/>
      <c r="E48" s="222"/>
      <c r="F48" s="253"/>
      <c r="G48" s="251"/>
      <c r="H48" s="251"/>
      <c r="I48" s="251"/>
      <c r="J48" s="102"/>
      <c r="K48" s="102"/>
      <c r="L48" s="253"/>
      <c r="M48" s="256"/>
      <c r="N48" s="251"/>
      <c r="O48" s="251"/>
      <c r="P48" s="222"/>
      <c r="Q48" s="105"/>
      <c r="R48" s="111"/>
      <c r="S48" s="222"/>
      <c r="T48" s="222"/>
      <c r="U48" s="222"/>
      <c r="V48" s="222"/>
      <c r="W48" s="222"/>
      <c r="X48" s="111"/>
      <c r="Y48" s="105"/>
      <c r="Z48" s="256"/>
      <c r="AA48" s="256"/>
      <c r="AB48" s="222"/>
      <c r="AC48" s="222"/>
      <c r="AD48" s="222"/>
      <c r="AE48" s="111"/>
      <c r="AF48" s="111"/>
      <c r="AG48" s="215">
        <v>0</v>
      </c>
    </row>
    <row r="49" spans="1:33" ht="28.9" hidden="1" thickBot="1">
      <c r="A49" s="146"/>
      <c r="B49" s="255"/>
      <c r="C49" s="108"/>
      <c r="D49" s="108"/>
      <c r="E49" s="246"/>
      <c r="F49" s="248"/>
      <c r="G49" s="246"/>
      <c r="H49" s="246"/>
      <c r="I49" s="248"/>
      <c r="J49" s="108"/>
      <c r="K49" s="108"/>
      <c r="L49" s="248"/>
      <c r="M49" s="247"/>
      <c r="N49" s="246"/>
      <c r="O49" s="248"/>
      <c r="P49" s="246"/>
      <c r="Q49" s="108"/>
      <c r="R49" s="107"/>
      <c r="S49" s="246"/>
      <c r="T49" s="246"/>
      <c r="U49" s="246"/>
      <c r="V49" s="246"/>
      <c r="W49" s="246"/>
      <c r="X49" s="107"/>
      <c r="Y49" s="108"/>
      <c r="Z49" s="247"/>
      <c r="AA49" s="247"/>
      <c r="AB49" s="246"/>
      <c r="AC49" s="246"/>
      <c r="AD49" s="246"/>
      <c r="AE49" s="107"/>
      <c r="AF49" s="107"/>
      <c r="AG49" s="496">
        <f>SUM(B49:AF49)</f>
        <v>0</v>
      </c>
    </row>
    <row r="50" spans="1:33" ht="28.9" hidden="1" thickBot="1">
      <c r="A50" s="190"/>
      <c r="B50" s="226"/>
      <c r="C50" s="133"/>
      <c r="D50" s="133"/>
      <c r="E50" s="227"/>
      <c r="F50" s="227"/>
      <c r="G50" s="227"/>
      <c r="H50" s="227"/>
      <c r="I50" s="227"/>
      <c r="J50" s="133"/>
      <c r="K50" s="133"/>
      <c r="L50" s="227"/>
      <c r="M50" s="230"/>
      <c r="N50" s="227"/>
      <c r="O50" s="227"/>
      <c r="P50" s="227"/>
      <c r="Q50" s="134"/>
      <c r="R50" s="133"/>
      <c r="S50" s="227"/>
      <c r="T50" s="227"/>
      <c r="U50" s="227"/>
      <c r="V50" s="227"/>
      <c r="W50" s="227"/>
      <c r="X50" s="134"/>
      <c r="Y50" s="133"/>
      <c r="Z50" s="227"/>
      <c r="AA50" s="230"/>
      <c r="AB50" s="227"/>
      <c r="AC50" s="227"/>
      <c r="AD50" s="227"/>
      <c r="AE50" s="133"/>
      <c r="AF50" s="133"/>
      <c r="AG50" s="497">
        <f>SUM(B50:AF50)</f>
        <v>0</v>
      </c>
    </row>
    <row r="51" spans="1:33" ht="28.9" hidden="1" thickBot="1">
      <c r="A51" s="173"/>
      <c r="B51" s="249"/>
      <c r="C51" s="102"/>
      <c r="D51" s="102"/>
      <c r="E51" s="222"/>
      <c r="F51" s="253"/>
      <c r="G51" s="251"/>
      <c r="H51" s="251"/>
      <c r="I51" s="251"/>
      <c r="J51" s="102"/>
      <c r="K51" s="102"/>
      <c r="L51" s="253"/>
      <c r="M51" s="256"/>
      <c r="N51" s="251"/>
      <c r="O51" s="251"/>
      <c r="P51" s="222"/>
      <c r="Q51" s="105"/>
      <c r="R51" s="111"/>
      <c r="S51" s="222"/>
      <c r="T51" s="222"/>
      <c r="U51" s="222"/>
      <c r="V51" s="222"/>
      <c r="W51" s="222"/>
      <c r="X51" s="111"/>
      <c r="Y51" s="105"/>
      <c r="Z51" s="256"/>
      <c r="AA51" s="256"/>
      <c r="AB51" s="222"/>
      <c r="AC51" s="222"/>
      <c r="AD51" s="222"/>
      <c r="AE51" s="111"/>
      <c r="AF51" s="111"/>
      <c r="AG51" s="215">
        <v>0</v>
      </c>
    </row>
    <row r="52" spans="1:33" ht="28.9" hidden="1" thickBot="1">
      <c r="A52" s="146"/>
      <c r="B52" s="255"/>
      <c r="C52" s="108"/>
      <c r="D52" s="108"/>
      <c r="E52" s="246"/>
      <c r="F52" s="248"/>
      <c r="G52" s="246"/>
      <c r="H52" s="246"/>
      <c r="I52" s="248"/>
      <c r="J52" s="108"/>
      <c r="K52" s="108"/>
      <c r="L52" s="248"/>
      <c r="M52" s="247"/>
      <c r="N52" s="246"/>
      <c r="O52" s="248"/>
      <c r="P52" s="246"/>
      <c r="Q52" s="108"/>
      <c r="R52" s="107"/>
      <c r="S52" s="246"/>
      <c r="T52" s="246"/>
      <c r="U52" s="246"/>
      <c r="V52" s="246"/>
      <c r="W52" s="246"/>
      <c r="X52" s="107"/>
      <c r="Y52" s="108"/>
      <c r="Z52" s="247"/>
      <c r="AA52" s="247"/>
      <c r="AB52" s="246"/>
      <c r="AC52" s="246"/>
      <c r="AD52" s="246"/>
      <c r="AE52" s="107"/>
      <c r="AF52" s="107"/>
      <c r="AG52" s="496">
        <f>SUM(B52:AF52)</f>
        <v>0</v>
      </c>
    </row>
    <row r="53" spans="1:33" ht="28.9" hidden="1" thickBot="1">
      <c r="A53" s="190"/>
      <c r="B53" s="226"/>
      <c r="C53" s="133"/>
      <c r="D53" s="133"/>
      <c r="E53" s="227"/>
      <c r="F53" s="227"/>
      <c r="G53" s="227"/>
      <c r="H53" s="227"/>
      <c r="I53" s="227"/>
      <c r="J53" s="133"/>
      <c r="K53" s="133"/>
      <c r="L53" s="227"/>
      <c r="M53" s="230"/>
      <c r="N53" s="227"/>
      <c r="O53" s="227"/>
      <c r="P53" s="227"/>
      <c r="Q53" s="134"/>
      <c r="R53" s="133"/>
      <c r="S53" s="227"/>
      <c r="T53" s="227"/>
      <c r="U53" s="227"/>
      <c r="V53" s="227"/>
      <c r="W53" s="227"/>
      <c r="X53" s="134"/>
      <c r="Y53" s="133"/>
      <c r="Z53" s="227"/>
      <c r="AA53" s="230"/>
      <c r="AB53" s="227"/>
      <c r="AC53" s="227"/>
      <c r="AD53" s="227"/>
      <c r="AE53" s="133"/>
      <c r="AF53" s="133"/>
      <c r="AG53" s="497">
        <f>SUM(B53:AF53)</f>
        <v>0</v>
      </c>
    </row>
    <row r="54" spans="1:33" ht="29.45" hidden="1" thickBot="1">
      <c r="A54" s="173"/>
      <c r="B54" s="266"/>
      <c r="C54" s="105"/>
      <c r="D54" s="105"/>
      <c r="E54" s="253"/>
      <c r="F54" s="222"/>
      <c r="G54" s="222"/>
      <c r="H54" s="222"/>
      <c r="I54" s="222"/>
      <c r="J54" s="105"/>
      <c r="K54" s="105"/>
      <c r="L54" s="222"/>
      <c r="M54" s="256"/>
      <c r="N54" s="222"/>
      <c r="O54" s="254"/>
      <c r="P54" s="222"/>
      <c r="Q54" s="112"/>
      <c r="R54" s="105"/>
      <c r="S54" s="222"/>
      <c r="T54" s="254"/>
      <c r="U54" s="222"/>
      <c r="V54" s="254"/>
      <c r="W54" s="222"/>
      <c r="X54" s="112"/>
      <c r="Y54" s="105"/>
      <c r="Z54" s="222"/>
      <c r="AA54" s="256"/>
      <c r="AB54" s="309"/>
      <c r="AC54" s="222"/>
      <c r="AD54" s="222"/>
      <c r="AE54" s="105"/>
      <c r="AF54" s="105"/>
      <c r="AG54" s="215">
        <v>0</v>
      </c>
    </row>
    <row r="55" spans="1:33" ht="28.9" hidden="1" thickBot="1">
      <c r="A55" s="189"/>
      <c r="B55" s="259"/>
      <c r="C55" s="137"/>
      <c r="D55" s="137"/>
      <c r="E55" s="260"/>
      <c r="F55" s="232"/>
      <c r="G55" s="232"/>
      <c r="H55" s="232"/>
      <c r="I55" s="232"/>
      <c r="J55" s="137"/>
      <c r="K55" s="137"/>
      <c r="L55" s="232"/>
      <c r="M55" s="231"/>
      <c r="N55" s="232"/>
      <c r="O55" s="232"/>
      <c r="P55" s="232"/>
      <c r="Q55" s="137"/>
      <c r="R55" s="137"/>
      <c r="S55" s="232"/>
      <c r="T55" s="260"/>
      <c r="U55" s="232"/>
      <c r="V55" s="232"/>
      <c r="W55" s="260"/>
      <c r="X55" s="137"/>
      <c r="Y55" s="137"/>
      <c r="Z55" s="232"/>
      <c r="AA55" s="231"/>
      <c r="AB55" s="232"/>
      <c r="AC55" s="232"/>
      <c r="AD55" s="232"/>
      <c r="AE55" s="139"/>
      <c r="AF55" s="338"/>
      <c r="AG55" s="496">
        <f>SUM(B55:AF55)</f>
        <v>0</v>
      </c>
    </row>
    <row r="56" spans="1:33" ht="28.9" hidden="1" thickBot="1">
      <c r="A56" s="150"/>
      <c r="B56" s="349"/>
      <c r="C56" s="350"/>
      <c r="D56" s="350"/>
      <c r="E56" s="351"/>
      <c r="F56" s="352"/>
      <c r="G56" s="352"/>
      <c r="H56" s="352"/>
      <c r="I56" s="352"/>
      <c r="J56" s="350"/>
      <c r="K56" s="350"/>
      <c r="L56" s="351"/>
      <c r="M56" s="354"/>
      <c r="N56" s="352"/>
      <c r="O56" s="354"/>
      <c r="P56" s="352"/>
      <c r="Q56" s="353"/>
      <c r="R56" s="350"/>
      <c r="S56" s="352"/>
      <c r="T56" s="354"/>
      <c r="U56" s="352"/>
      <c r="V56" s="355"/>
      <c r="W56" s="352"/>
      <c r="X56" s="353"/>
      <c r="Y56" s="350"/>
      <c r="Z56" s="352"/>
      <c r="AA56" s="355"/>
      <c r="AB56" s="352"/>
      <c r="AC56" s="352"/>
      <c r="AD56" s="352"/>
      <c r="AE56" s="177"/>
      <c r="AF56" s="353"/>
      <c r="AG56" s="497">
        <f>SUM(B56:AF56)</f>
        <v>0</v>
      </c>
    </row>
    <row r="57" spans="1:33" ht="32.450000000000003" thickBot="1">
      <c r="A57" s="678" t="s">
        <v>40</v>
      </c>
      <c r="B57" s="311"/>
      <c r="C57" s="312"/>
      <c r="D57" s="312"/>
      <c r="E57" s="313"/>
      <c r="F57" s="312"/>
      <c r="G57" s="312"/>
      <c r="H57" s="312"/>
      <c r="I57" s="312"/>
      <c r="J57" s="312"/>
      <c r="K57" s="312"/>
      <c r="L57" s="313"/>
      <c r="M57" s="314"/>
      <c r="N57" s="312"/>
      <c r="O57" s="314"/>
      <c r="P57" s="312"/>
      <c r="Q57" s="675" t="s">
        <v>18</v>
      </c>
      <c r="R57" s="592" t="s">
        <v>18</v>
      </c>
      <c r="S57" s="312"/>
      <c r="T57" s="314"/>
      <c r="U57" s="312"/>
      <c r="V57" s="315"/>
      <c r="W57" s="312"/>
      <c r="X57" s="314"/>
      <c r="Y57" s="312"/>
      <c r="Z57" s="312"/>
      <c r="AA57" s="315"/>
      <c r="AB57" s="312"/>
      <c r="AC57" s="313"/>
      <c r="AD57" s="312"/>
      <c r="AE57" s="312"/>
      <c r="AF57" s="316"/>
      <c r="AG57" s="498" t="s">
        <v>41</v>
      </c>
    </row>
    <row r="58" spans="1:33" ht="32.450000000000003" thickBot="1">
      <c r="A58" s="679"/>
      <c r="B58" s="317"/>
      <c r="C58" s="318"/>
      <c r="D58" s="318"/>
      <c r="E58" s="318"/>
      <c r="F58" s="318"/>
      <c r="G58" s="318"/>
      <c r="H58" s="318"/>
      <c r="I58" s="318"/>
      <c r="J58" s="318"/>
      <c r="K58" s="318"/>
      <c r="L58" s="318"/>
      <c r="M58" s="318"/>
      <c r="N58" s="318"/>
      <c r="O58" s="318"/>
      <c r="P58" s="318"/>
      <c r="Q58" s="318"/>
      <c r="R58" s="318"/>
      <c r="S58" s="318"/>
      <c r="T58" s="318"/>
      <c r="U58" s="318"/>
      <c r="V58" s="318"/>
      <c r="W58" s="318"/>
      <c r="X58" s="318"/>
      <c r="Y58" s="318"/>
      <c r="Z58" s="318"/>
      <c r="AA58" s="318"/>
      <c r="AB58" s="318"/>
      <c r="AC58" s="318"/>
      <c r="AD58" s="318"/>
      <c r="AE58" s="318"/>
      <c r="AF58" s="319"/>
      <c r="AG58" s="499">
        <v>165.5</v>
      </c>
    </row>
    <row r="59" spans="1:33" ht="29.45" thickTop="1">
      <c r="A59" s="125" t="s">
        <v>42</v>
      </c>
      <c r="B59" s="126"/>
      <c r="C59" s="126"/>
      <c r="D59" s="124"/>
      <c r="E59" s="124"/>
      <c r="F59" s="124"/>
      <c r="G59" s="124"/>
      <c r="H59" s="127"/>
      <c r="I59" s="7"/>
      <c r="J59" s="7"/>
      <c r="K59" s="20" t="s">
        <v>43</v>
      </c>
      <c r="L59" s="37"/>
      <c r="M59" s="37"/>
      <c r="N59" s="37"/>
      <c r="O59" s="37"/>
      <c r="P59" s="22"/>
      <c r="Q59" s="22"/>
      <c r="R59" s="128"/>
      <c r="S59" s="128" t="s">
        <v>44</v>
      </c>
      <c r="T59" s="23"/>
      <c r="U59" s="129"/>
      <c r="V59" s="7"/>
      <c r="W59" s="7"/>
      <c r="X59" s="25"/>
      <c r="Y59" s="26"/>
      <c r="Z59" s="26"/>
      <c r="AA59" s="26"/>
      <c r="AB59" s="90" t="s">
        <v>45</v>
      </c>
      <c r="AC59" s="26"/>
      <c r="AD59" s="26"/>
      <c r="AE59" s="26"/>
      <c r="AF59" s="26"/>
      <c r="AG59" s="55"/>
    </row>
    <row r="60" spans="1:33" ht="28.9">
      <c r="A60" s="16" t="s">
        <v>46</v>
      </c>
      <c r="B60" s="17"/>
      <c r="C60" s="17"/>
      <c r="D60" s="18"/>
      <c r="E60" s="18"/>
      <c r="F60" s="18"/>
      <c r="G60" s="18"/>
      <c r="H60" s="19"/>
      <c r="I60" s="7"/>
      <c r="J60" s="7"/>
      <c r="K60" s="20" t="s">
        <v>47</v>
      </c>
      <c r="L60" s="21"/>
      <c r="M60" s="21"/>
      <c r="N60" s="21"/>
      <c r="O60" s="21"/>
      <c r="P60" s="22"/>
      <c r="Q60" s="128"/>
      <c r="R60" s="128" t="s">
        <v>48</v>
      </c>
      <c r="S60" s="23"/>
      <c r="T60" s="23"/>
      <c r="U60" s="24"/>
      <c r="V60" s="7"/>
      <c r="W60" s="7"/>
      <c r="X60" s="25"/>
      <c r="Y60" s="26"/>
      <c r="Z60" s="26"/>
      <c r="AA60" s="26"/>
      <c r="AB60" s="26"/>
      <c r="AC60" s="26"/>
      <c r="AD60" s="26"/>
      <c r="AE60" s="26"/>
      <c r="AF60" s="26"/>
      <c r="AG60" s="55"/>
    </row>
    <row r="61" spans="1:33" ht="28.15">
      <c r="A61" s="27" t="s">
        <v>49</v>
      </c>
      <c r="B61" s="28"/>
      <c r="C61" s="28"/>
      <c r="D61" s="28"/>
      <c r="E61" s="28"/>
      <c r="F61" s="28"/>
      <c r="G61" s="28"/>
      <c r="H61" s="29"/>
      <c r="I61" s="7"/>
      <c r="J61" s="7"/>
      <c r="K61" s="20" t="s">
        <v>50</v>
      </c>
      <c r="L61" s="21"/>
      <c r="M61" s="21"/>
      <c r="N61" s="21"/>
      <c r="O61" s="21"/>
      <c r="P61" s="22"/>
      <c r="Q61" s="22"/>
      <c r="R61" s="22"/>
      <c r="S61" s="22"/>
      <c r="T61" s="22"/>
      <c r="U61" s="30"/>
      <c r="V61" s="7"/>
      <c r="W61" s="7"/>
      <c r="X61" s="31"/>
      <c r="Y61" s="26"/>
      <c r="Z61" s="26"/>
      <c r="AA61" s="26"/>
      <c r="AB61" s="26"/>
      <c r="AC61" s="26"/>
      <c r="AD61" s="26"/>
      <c r="AE61" s="26"/>
      <c r="AF61" s="26"/>
      <c r="AG61" s="15"/>
    </row>
    <row r="62" spans="1:33" ht="28.9">
      <c r="A62" s="32" t="s">
        <v>51</v>
      </c>
      <c r="B62" s="33"/>
      <c r="C62" s="33"/>
      <c r="D62" s="34"/>
      <c r="E62" s="34"/>
      <c r="F62" s="34"/>
      <c r="G62" s="34"/>
      <c r="H62" s="35"/>
      <c r="I62" s="36"/>
      <c r="J62" s="36"/>
      <c r="K62" s="20" t="s">
        <v>70</v>
      </c>
      <c r="L62" s="21"/>
      <c r="M62" s="21"/>
      <c r="N62" s="21"/>
      <c r="O62" s="21"/>
      <c r="P62" s="37"/>
      <c r="Q62" s="37"/>
      <c r="R62" s="37"/>
      <c r="S62" s="38"/>
      <c r="T62" s="37"/>
      <c r="U62" s="39"/>
      <c r="V62" s="40"/>
      <c r="W62" s="6"/>
      <c r="X62" s="701"/>
      <c r="Y62" s="702"/>
      <c r="Z62" s="702"/>
      <c r="AA62" s="702"/>
      <c r="AB62" s="702"/>
      <c r="AC62" s="702"/>
      <c r="AD62" s="702"/>
      <c r="AE62" s="702"/>
      <c r="AF62" s="702"/>
      <c r="AG62" s="703"/>
    </row>
    <row r="63" spans="1:33" ht="28.9">
      <c r="A63" s="42" t="s">
        <v>53</v>
      </c>
      <c r="B63" s="43"/>
      <c r="C63" s="43"/>
      <c r="D63" s="43"/>
      <c r="E63" s="43"/>
      <c r="F63" s="43"/>
      <c r="G63" s="43"/>
      <c r="H63" s="44"/>
      <c r="I63" s="36"/>
      <c r="J63" s="36"/>
      <c r="K63" s="20" t="s">
        <v>71</v>
      </c>
      <c r="L63" s="21"/>
      <c r="M63" s="21"/>
      <c r="N63" s="21"/>
      <c r="O63" s="21"/>
      <c r="P63" s="21"/>
      <c r="Q63" s="21"/>
      <c r="R63" s="21"/>
      <c r="S63" s="38"/>
      <c r="T63" s="37"/>
      <c r="U63" s="39"/>
      <c r="V63" s="40"/>
      <c r="W63" s="6"/>
      <c r="X63" s="41"/>
      <c r="Y63" s="45"/>
      <c r="Z63" s="46"/>
      <c r="AA63" s="45"/>
      <c r="AB63" s="45"/>
      <c r="AC63" s="45"/>
      <c r="AD63" s="45"/>
      <c r="AE63" s="45"/>
      <c r="AF63" s="45"/>
      <c r="AG63" s="15"/>
    </row>
    <row r="64" spans="1:33" ht="28.9">
      <c r="A64" s="47" t="s">
        <v>55</v>
      </c>
      <c r="B64" s="48"/>
      <c r="C64" s="48"/>
      <c r="D64" s="49"/>
      <c r="E64" s="49"/>
      <c r="F64" s="49"/>
      <c r="G64" s="49"/>
      <c r="H64" s="50"/>
      <c r="I64" s="36"/>
      <c r="J64" s="36"/>
      <c r="K64" s="20" t="s">
        <v>56</v>
      </c>
      <c r="L64" s="21"/>
      <c r="M64" s="21"/>
      <c r="N64" s="21"/>
      <c r="O64" s="21"/>
      <c r="P64" s="21"/>
      <c r="Q64" s="21"/>
      <c r="R64" s="21"/>
      <c r="S64" s="38"/>
      <c r="T64" s="37"/>
      <c r="U64" s="51"/>
      <c r="V64" s="40"/>
      <c r="W64" s="6"/>
      <c r="X64" s="41"/>
      <c r="Y64" s="45"/>
      <c r="Z64" s="46"/>
      <c r="AA64" s="45"/>
      <c r="AB64" s="45"/>
      <c r="AC64" s="45"/>
      <c r="AD64" s="45"/>
      <c r="AE64" s="45"/>
      <c r="AF64" s="45"/>
      <c r="AG64" s="15"/>
    </row>
    <row r="65" spans="1:33" ht="28.9">
      <c r="A65" s="52" t="s">
        <v>57</v>
      </c>
      <c r="B65" s="53"/>
      <c r="C65" s="53"/>
      <c r="D65" s="53"/>
      <c r="E65" s="53"/>
      <c r="F65" s="53"/>
      <c r="G65" s="53"/>
      <c r="H65" s="54"/>
      <c r="I65" s="36"/>
      <c r="J65" s="36"/>
      <c r="K65" s="20" t="s">
        <v>58</v>
      </c>
      <c r="L65" s="21"/>
      <c r="M65" s="21"/>
      <c r="N65" s="21"/>
      <c r="O65" s="21"/>
      <c r="P65" s="21"/>
      <c r="Q65" s="21" t="s">
        <v>59</v>
      </c>
      <c r="R65" s="21"/>
      <c r="S65" s="38"/>
      <c r="T65" s="37"/>
      <c r="U65" s="39"/>
      <c r="V65" s="40"/>
      <c r="W65" s="6"/>
      <c r="X65" s="41"/>
      <c r="Y65" s="45"/>
      <c r="Z65" s="46"/>
      <c r="AA65" s="45"/>
      <c r="AB65" s="45"/>
      <c r="AC65" s="45"/>
      <c r="AD65" s="45"/>
      <c r="AE65" s="45"/>
      <c r="AF65" s="45"/>
      <c r="AG65" s="55"/>
    </row>
    <row r="66" spans="1:33" ht="29.45" thickBot="1">
      <c r="A66" s="78" t="s">
        <v>60</v>
      </c>
      <c r="B66" s="79"/>
      <c r="C66" s="79"/>
      <c r="D66" s="80"/>
      <c r="E66" s="80"/>
      <c r="F66" s="80"/>
      <c r="G66" s="80"/>
      <c r="H66" s="81"/>
      <c r="I66" s="6"/>
      <c r="J66" s="6"/>
      <c r="K66" s="20" t="s">
        <v>61</v>
      </c>
      <c r="L66" s="21"/>
      <c r="M66" s="21"/>
      <c r="N66" s="21"/>
      <c r="O66" s="21"/>
      <c r="P66" s="21"/>
      <c r="Q66" s="21"/>
      <c r="R66" s="21"/>
      <c r="S66" s="38"/>
      <c r="T66" s="37"/>
      <c r="U66" s="51"/>
      <c r="V66" s="6"/>
      <c r="W66" s="6"/>
      <c r="X66" s="41"/>
      <c r="Y66" s="45"/>
      <c r="Z66" s="46"/>
      <c r="AA66" s="45"/>
      <c r="AB66" s="45"/>
      <c r="AC66" s="45"/>
      <c r="AD66" s="45"/>
      <c r="AE66" s="45"/>
      <c r="AF66" s="45"/>
      <c r="AG66" s="55"/>
    </row>
    <row r="67" spans="1:33" ht="29.45" thickBot="1">
      <c r="A67" s="82" t="s">
        <v>62</v>
      </c>
      <c r="B67" s="83"/>
      <c r="C67" s="83"/>
      <c r="D67" s="83"/>
      <c r="E67" s="83"/>
      <c r="F67" s="83"/>
      <c r="G67" s="83"/>
      <c r="H67" s="84"/>
      <c r="I67" s="6"/>
      <c r="J67" s="6"/>
      <c r="K67" s="63" t="s">
        <v>63</v>
      </c>
      <c r="L67" s="64"/>
      <c r="M67" s="64"/>
      <c r="N67" s="64"/>
      <c r="O67" s="64"/>
      <c r="P67" s="64"/>
      <c r="Q67" s="64"/>
      <c r="R67" s="64"/>
      <c r="S67" s="65"/>
      <c r="T67" s="66"/>
      <c r="U67" s="67"/>
      <c r="V67" s="6"/>
      <c r="W67" s="6"/>
      <c r="X67" s="68"/>
      <c r="Y67" s="69"/>
      <c r="Z67" s="70"/>
      <c r="AA67" s="69"/>
      <c r="AB67" s="69"/>
      <c r="AC67" s="69"/>
      <c r="AD67" s="69"/>
      <c r="AE67" s="69"/>
      <c r="AF67" s="69"/>
      <c r="AG67" s="71"/>
    </row>
    <row r="68" spans="1:33" ht="28.9">
      <c r="A68" s="6"/>
      <c r="B68" s="6"/>
      <c r="C68" s="6"/>
      <c r="D68" s="6"/>
      <c r="E68" s="6"/>
      <c r="F68" s="6"/>
      <c r="G68" s="6"/>
      <c r="H68" s="6"/>
      <c r="I68" s="6"/>
      <c r="J68" s="72"/>
      <c r="K68" s="73"/>
      <c r="L68" s="74"/>
      <c r="M68" s="74"/>
      <c r="N68" s="74"/>
      <c r="O68" s="74"/>
      <c r="P68" s="74"/>
      <c r="Q68" s="74"/>
      <c r="R68" s="72"/>
      <c r="S68" s="72"/>
      <c r="T68" s="72"/>
      <c r="U68" s="72"/>
      <c r="V68" s="72"/>
      <c r="W68" s="72"/>
      <c r="X68" s="72"/>
      <c r="Y68" s="72"/>
      <c r="Z68" s="6"/>
      <c r="AA68" s="6"/>
      <c r="AB68" s="6"/>
      <c r="AC68" s="6"/>
      <c r="AD68" s="6"/>
      <c r="AE68" s="6"/>
      <c r="AF68" s="6"/>
      <c r="AG68" s="6"/>
    </row>
    <row r="69" spans="1:33" ht="28.9">
      <c r="A69" s="6" t="s">
        <v>64</v>
      </c>
      <c r="B69" s="6"/>
      <c r="C69" s="6"/>
      <c r="D69" s="6"/>
      <c r="E69" s="6"/>
      <c r="F69" s="6"/>
      <c r="G69" s="6"/>
      <c r="H69" s="6" t="s">
        <v>65</v>
      </c>
      <c r="I69" s="6"/>
      <c r="J69" s="72"/>
      <c r="K69" s="73"/>
      <c r="L69" s="74"/>
      <c r="M69" s="74"/>
      <c r="N69" s="74"/>
      <c r="O69" s="74"/>
      <c r="P69" s="74" t="s">
        <v>66</v>
      </c>
      <c r="Q69" s="74"/>
      <c r="R69" s="72"/>
      <c r="S69" s="72"/>
      <c r="T69" s="72"/>
      <c r="U69" s="72"/>
      <c r="V69" s="72"/>
      <c r="W69" s="72"/>
      <c r="X69" s="72"/>
      <c r="Y69" s="72"/>
      <c r="Z69" s="6"/>
      <c r="AA69" s="6" t="s">
        <v>72</v>
      </c>
      <c r="AB69" s="6"/>
      <c r="AC69" s="6"/>
      <c r="AD69" s="6"/>
      <c r="AE69" s="6"/>
      <c r="AF69" s="6"/>
      <c r="AG69" s="6"/>
    </row>
    <row r="70" spans="1:33" ht="28.9">
      <c r="A70" s="6"/>
      <c r="B70" s="6"/>
      <c r="C70" s="6"/>
      <c r="D70" s="6"/>
      <c r="E70" s="6"/>
      <c r="F70" s="6"/>
      <c r="G70" s="6"/>
      <c r="H70" s="6"/>
      <c r="I70" s="6"/>
      <c r="J70" s="72"/>
      <c r="K70" s="73"/>
      <c r="L70" s="74"/>
      <c r="M70" s="74"/>
      <c r="N70" s="74"/>
      <c r="O70" s="74"/>
      <c r="P70" s="74" t="s">
        <v>68</v>
      </c>
      <c r="Q70" s="74"/>
      <c r="R70" s="72"/>
      <c r="S70" s="72"/>
      <c r="T70" s="72"/>
      <c r="U70" s="72"/>
      <c r="V70" s="72"/>
      <c r="W70" s="72"/>
      <c r="X70" s="72"/>
      <c r="Y70" s="72"/>
      <c r="Z70" s="6"/>
      <c r="AA70" s="6"/>
      <c r="AB70" s="6"/>
      <c r="AC70" s="6"/>
      <c r="AD70" s="6"/>
      <c r="AE70" s="6"/>
      <c r="AF70" s="6"/>
    </row>
    <row r="71" spans="1:33" ht="28.9">
      <c r="A71" s="6"/>
      <c r="B71" s="6"/>
      <c r="C71" s="6"/>
      <c r="D71" s="6"/>
      <c r="E71" s="6"/>
      <c r="F71" s="6"/>
      <c r="G71" s="6"/>
      <c r="H71" s="6"/>
      <c r="I71" s="6"/>
      <c r="J71" s="72"/>
      <c r="K71" s="73"/>
      <c r="L71" s="74"/>
      <c r="M71" s="74"/>
      <c r="N71" s="74"/>
      <c r="O71" s="74"/>
      <c r="P71" s="74"/>
      <c r="Q71" s="74"/>
      <c r="R71" s="72"/>
      <c r="S71" s="72"/>
      <c r="T71" s="72"/>
      <c r="U71" s="72"/>
      <c r="V71" s="72"/>
      <c r="W71" s="72"/>
      <c r="X71" s="72"/>
      <c r="Y71" s="72"/>
      <c r="Z71" s="6"/>
      <c r="AA71" s="6"/>
      <c r="AB71" s="6"/>
      <c r="AC71" s="6"/>
      <c r="AD71" s="6"/>
      <c r="AE71" s="6"/>
      <c r="AF71" s="6"/>
    </row>
    <row r="72" spans="1:33" ht="28.9">
      <c r="A72" s="6"/>
      <c r="B72" s="6"/>
      <c r="C72" s="6"/>
      <c r="D72" s="6"/>
      <c r="E72" s="6"/>
      <c r="F72" s="6"/>
      <c r="G72" s="6"/>
      <c r="H72" s="6"/>
      <c r="I72" s="6"/>
      <c r="J72" s="72"/>
      <c r="K72" s="73"/>
      <c r="L72" s="74"/>
      <c r="M72" s="74"/>
      <c r="N72" s="74"/>
      <c r="O72" s="74"/>
      <c r="P72" s="74"/>
      <c r="Q72" s="74"/>
      <c r="R72" s="72"/>
      <c r="S72" s="72"/>
      <c r="T72" s="72"/>
      <c r="U72" s="72"/>
      <c r="V72" s="72"/>
      <c r="W72" s="72"/>
      <c r="X72" s="72"/>
      <c r="Y72" s="72"/>
      <c r="Z72" s="6"/>
      <c r="AA72" s="6"/>
      <c r="AB72" s="6"/>
      <c r="AC72" s="6"/>
      <c r="AD72" s="6"/>
      <c r="AE72" s="6"/>
      <c r="AF72" s="6"/>
    </row>
    <row r="73" spans="1:33" ht="28.9">
      <c r="A73" s="6"/>
      <c r="B73" s="6"/>
      <c r="C73" s="6"/>
      <c r="D73" s="6"/>
      <c r="E73" s="6"/>
      <c r="F73" s="6"/>
      <c r="G73" s="6"/>
      <c r="H73" s="6"/>
      <c r="I73" s="6"/>
      <c r="J73" s="72"/>
      <c r="K73" s="73"/>
      <c r="L73" s="74"/>
      <c r="M73" s="74"/>
      <c r="N73" s="74"/>
      <c r="O73" s="74"/>
      <c r="P73" s="74"/>
      <c r="Q73" s="74"/>
      <c r="R73" s="72"/>
      <c r="S73" s="72"/>
      <c r="T73" s="72"/>
      <c r="U73" s="72"/>
      <c r="V73" s="72"/>
      <c r="W73" s="72"/>
      <c r="X73" s="72"/>
      <c r="Y73" s="72"/>
      <c r="Z73" s="6"/>
      <c r="AA73" s="6"/>
      <c r="AB73" s="6"/>
      <c r="AC73" s="6"/>
      <c r="AD73" s="6"/>
      <c r="AE73" s="6"/>
      <c r="AF73" s="6"/>
    </row>
    <row r="74" spans="1:33">
      <c r="A74" s="680"/>
      <c r="B74" s="681"/>
      <c r="C74" s="681"/>
      <c r="D74" s="681"/>
      <c r="E74" s="681"/>
      <c r="F74" s="681"/>
      <c r="G74" s="681"/>
      <c r="H74" s="681"/>
      <c r="I74" s="681"/>
      <c r="J74" s="681"/>
      <c r="K74" s="681"/>
      <c r="L74" s="681"/>
      <c r="M74" s="681"/>
      <c r="N74" s="681"/>
      <c r="O74" s="681"/>
      <c r="P74" s="681"/>
      <c r="Q74" s="681"/>
      <c r="R74" s="681"/>
      <c r="S74" s="681"/>
      <c r="T74" s="681"/>
      <c r="U74" s="681"/>
      <c r="V74" s="681"/>
      <c r="W74" s="681"/>
      <c r="X74" s="681"/>
      <c r="Y74" s="681"/>
      <c r="Z74" s="681"/>
      <c r="AA74" s="681"/>
      <c r="AB74" s="681"/>
      <c r="AC74" s="681"/>
      <c r="AD74" s="681"/>
      <c r="AE74" s="681"/>
      <c r="AF74" s="681"/>
    </row>
    <row r="75" spans="1:33">
      <c r="A75" s="681"/>
      <c r="B75" s="681"/>
      <c r="C75" s="681"/>
      <c r="D75" s="681"/>
      <c r="E75" s="681"/>
      <c r="F75" s="681"/>
      <c r="G75" s="681"/>
      <c r="H75" s="681"/>
      <c r="I75" s="681"/>
      <c r="J75" s="681"/>
      <c r="K75" s="681"/>
      <c r="L75" s="681"/>
      <c r="M75" s="681"/>
      <c r="N75" s="681"/>
      <c r="O75" s="681"/>
      <c r="P75" s="681"/>
      <c r="Q75" s="681"/>
      <c r="R75" s="681"/>
      <c r="S75" s="681"/>
      <c r="T75" s="681"/>
      <c r="U75" s="681"/>
      <c r="V75" s="681"/>
      <c r="W75" s="681"/>
      <c r="X75" s="681"/>
      <c r="Y75" s="681"/>
      <c r="Z75" s="681"/>
      <c r="AA75" s="681"/>
      <c r="AB75" s="681"/>
      <c r="AC75" s="681"/>
      <c r="AD75" s="681"/>
      <c r="AE75" s="681"/>
      <c r="AF75" s="681"/>
    </row>
    <row r="76" spans="1:33">
      <c r="A76" s="704"/>
      <c r="B76" s="704"/>
      <c r="C76" s="704"/>
      <c r="D76" s="704"/>
      <c r="E76" s="704"/>
      <c r="F76" s="704"/>
      <c r="G76" s="704"/>
      <c r="H76" s="704"/>
      <c r="I76" s="704"/>
      <c r="J76" s="704"/>
      <c r="K76" s="704"/>
      <c r="L76" s="704"/>
      <c r="M76" s="704"/>
      <c r="N76" s="704"/>
      <c r="O76" s="704"/>
      <c r="P76" s="704"/>
      <c r="Q76" s="704"/>
      <c r="R76" s="704"/>
      <c r="S76" s="704"/>
      <c r="T76" s="704"/>
      <c r="U76" s="704"/>
      <c r="V76" s="704"/>
      <c r="W76" s="704"/>
      <c r="X76" s="704"/>
      <c r="Y76" s="704"/>
      <c r="Z76" s="704"/>
      <c r="AA76" s="704"/>
      <c r="AB76" s="704"/>
      <c r="AC76" s="704"/>
      <c r="AD76" s="704"/>
      <c r="AE76" s="704"/>
      <c r="AF76" s="704"/>
    </row>
    <row r="77" spans="1:33">
      <c r="A77" s="704"/>
      <c r="B77" s="704"/>
      <c r="C77" s="704"/>
      <c r="D77" s="704"/>
      <c r="E77" s="704"/>
      <c r="F77" s="704"/>
      <c r="G77" s="704"/>
      <c r="H77" s="704"/>
      <c r="I77" s="704"/>
      <c r="J77" s="704"/>
      <c r="K77" s="704"/>
      <c r="L77" s="704"/>
      <c r="M77" s="704"/>
      <c r="N77" s="704"/>
      <c r="O77" s="704"/>
      <c r="P77" s="704"/>
      <c r="Q77" s="704"/>
      <c r="R77" s="704"/>
      <c r="S77" s="704"/>
      <c r="T77" s="704"/>
      <c r="U77" s="704"/>
      <c r="V77" s="704"/>
      <c r="W77" s="704"/>
      <c r="X77" s="704"/>
      <c r="Y77" s="704"/>
      <c r="Z77" s="704"/>
      <c r="AA77" s="704"/>
      <c r="AB77" s="704"/>
      <c r="AC77" s="704"/>
      <c r="AD77" s="704"/>
      <c r="AE77" s="704"/>
      <c r="AF77" s="704"/>
    </row>
  </sheetData>
  <mergeCells count="3">
    <mergeCell ref="X62:AG62"/>
    <mergeCell ref="A74:AF77"/>
    <mergeCell ref="A57:A58"/>
  </mergeCells>
  <conditionalFormatting sqref="T2:X2">
    <cfRule type="duplicateValues" dxfId="1" priority="1"/>
  </conditionalFormatting>
  <pageMargins left="0.7" right="0.7" top="0.75" bottom="0.75" header="0.3" footer="0.3"/>
  <pageSetup paperSize="9" orientation="landscape" horizontalDpi="360" verticalDpi="36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46AC2-44BB-EC42-BE38-A8A42C1FCADA}">
  <dimension ref="A1:CW83"/>
  <sheetViews>
    <sheetView showGridLines="0" zoomScale="40" zoomScaleNormal="40" workbookViewId="0">
      <selection activeCell="S29" sqref="S29"/>
    </sheetView>
  </sheetViews>
  <sheetFormatPr defaultColWidth="8.7109375" defaultRowHeight="14.45"/>
  <cols>
    <col min="1" max="1" width="21.7109375" customWidth="1"/>
    <col min="4" max="4" width="8.7109375" style="1"/>
    <col min="18" max="18" width="9.42578125" customWidth="1"/>
    <col min="32" max="32" width="13.140625" bestFit="1" customWidth="1"/>
    <col min="33" max="33" width="19.7109375" customWidth="1"/>
    <col min="36" max="36" width="11.7109375" bestFit="1" customWidth="1"/>
  </cols>
  <sheetData>
    <row r="1" spans="1:51" ht="28.9" thickTop="1" thickBot="1">
      <c r="A1" s="185" t="s">
        <v>0</v>
      </c>
      <c r="B1" s="280">
        <v>1</v>
      </c>
      <c r="C1" s="281">
        <v>2</v>
      </c>
      <c r="D1" s="281">
        <v>3</v>
      </c>
      <c r="E1" s="282">
        <v>4</v>
      </c>
      <c r="F1" s="281">
        <v>5</v>
      </c>
      <c r="G1" s="140">
        <v>6</v>
      </c>
      <c r="H1" s="140">
        <v>7</v>
      </c>
      <c r="I1" s="281">
        <v>8</v>
      </c>
      <c r="J1" s="281">
        <v>9</v>
      </c>
      <c r="K1" s="281">
        <v>10</v>
      </c>
      <c r="L1" s="402">
        <v>11</v>
      </c>
      <c r="M1" s="284">
        <v>12</v>
      </c>
      <c r="N1" s="140">
        <v>13</v>
      </c>
      <c r="O1" s="140">
        <v>14</v>
      </c>
      <c r="P1" s="283">
        <v>15</v>
      </c>
      <c r="Q1" s="281">
        <v>16</v>
      </c>
      <c r="R1" s="283">
        <v>17</v>
      </c>
      <c r="S1" s="281">
        <v>18</v>
      </c>
      <c r="T1" s="281">
        <v>19</v>
      </c>
      <c r="U1" s="142">
        <v>20</v>
      </c>
      <c r="V1" s="140">
        <v>21</v>
      </c>
      <c r="W1" s="283">
        <v>22</v>
      </c>
      <c r="X1" s="281">
        <v>23</v>
      </c>
      <c r="Y1" s="283">
        <v>24</v>
      </c>
      <c r="Z1" s="369">
        <v>25</v>
      </c>
      <c r="AA1" s="283">
        <v>26</v>
      </c>
      <c r="AB1" s="140">
        <v>27</v>
      </c>
      <c r="AC1" s="142">
        <v>28</v>
      </c>
      <c r="AD1" s="281">
        <v>29</v>
      </c>
      <c r="AE1" s="285">
        <v>30</v>
      </c>
      <c r="AF1" s="191" t="s">
        <v>1</v>
      </c>
      <c r="AG1" s="474" t="s">
        <v>2</v>
      </c>
    </row>
    <row r="2" spans="1:51" ht="29.45" thickBot="1">
      <c r="A2" s="201" t="s">
        <v>73</v>
      </c>
      <c r="B2" s="286" t="s">
        <v>9</v>
      </c>
      <c r="C2" s="287" t="s">
        <v>10</v>
      </c>
      <c r="D2" s="287" t="s">
        <v>4</v>
      </c>
      <c r="E2" s="286" t="s">
        <v>5</v>
      </c>
      <c r="F2" s="287" t="s">
        <v>6</v>
      </c>
      <c r="G2" s="163" t="s">
        <v>7</v>
      </c>
      <c r="H2" s="163" t="s">
        <v>8</v>
      </c>
      <c r="I2" s="287" t="s">
        <v>9</v>
      </c>
      <c r="J2" s="287" t="s">
        <v>10</v>
      </c>
      <c r="K2" s="287" t="s">
        <v>4</v>
      </c>
      <c r="L2" s="403" t="s">
        <v>5</v>
      </c>
      <c r="M2" s="288" t="s">
        <v>6</v>
      </c>
      <c r="N2" s="163" t="s">
        <v>7</v>
      </c>
      <c r="O2" s="163" t="s">
        <v>8</v>
      </c>
      <c r="P2" s="287" t="s">
        <v>9</v>
      </c>
      <c r="Q2" s="287" t="s">
        <v>10</v>
      </c>
      <c r="R2" s="286" t="s">
        <v>4</v>
      </c>
      <c r="S2" s="286" t="s">
        <v>5</v>
      </c>
      <c r="T2" s="287" t="s">
        <v>6</v>
      </c>
      <c r="U2" s="163" t="s">
        <v>7</v>
      </c>
      <c r="V2" s="163" t="s">
        <v>8</v>
      </c>
      <c r="W2" s="287" t="s">
        <v>9</v>
      </c>
      <c r="X2" s="287" t="s">
        <v>10</v>
      </c>
      <c r="Y2" s="286" t="s">
        <v>4</v>
      </c>
      <c r="Z2" s="370" t="s">
        <v>5</v>
      </c>
      <c r="AA2" s="288" t="s">
        <v>6</v>
      </c>
      <c r="AB2" s="163" t="s">
        <v>7</v>
      </c>
      <c r="AC2" s="162" t="s">
        <v>8</v>
      </c>
      <c r="AD2" s="287" t="s">
        <v>9</v>
      </c>
      <c r="AE2" s="289" t="s">
        <v>10</v>
      </c>
      <c r="AF2" s="213">
        <f>SUM(AF5,AF8,AF11,AF17,AF20,AF23,AF26,AF29,AF32,AF35,AF38,AF41,AF44,AF47,AF50,AF53,AF56,AF59,AF62,AF65)</f>
        <v>59</v>
      </c>
      <c r="AG2" s="475" t="s">
        <v>11</v>
      </c>
      <c r="AJ2" s="658"/>
      <c r="AK2" s="658"/>
      <c r="AL2" s="658"/>
      <c r="AM2" s="658"/>
      <c r="AN2" s="658"/>
      <c r="AO2" s="658"/>
      <c r="AP2" s="658"/>
      <c r="AQ2" s="658"/>
      <c r="AR2" s="658"/>
      <c r="AS2" s="658"/>
      <c r="AT2" s="658"/>
      <c r="AU2" s="152"/>
      <c r="AV2" s="152"/>
      <c r="AW2" s="152"/>
      <c r="AX2" s="152"/>
      <c r="AY2" s="152"/>
    </row>
    <row r="3" spans="1:51" ht="28.9" thickBot="1">
      <c r="A3" s="146" t="s">
        <v>12</v>
      </c>
      <c r="B3" s="218" t="s">
        <v>13</v>
      </c>
      <c r="C3" s="219" t="s">
        <v>13</v>
      </c>
      <c r="D3" s="623" t="s">
        <v>13</v>
      </c>
      <c r="E3" s="623" t="s">
        <v>13</v>
      </c>
      <c r="F3" s="623" t="s">
        <v>13</v>
      </c>
      <c r="G3" s="623"/>
      <c r="H3" s="623"/>
      <c r="I3" s="623" t="s">
        <v>13</v>
      </c>
      <c r="J3" s="623" t="s">
        <v>13</v>
      </c>
      <c r="K3" s="623" t="s">
        <v>13</v>
      </c>
      <c r="L3" s="624" t="s">
        <v>13</v>
      </c>
      <c r="M3" s="625" t="s">
        <v>13</v>
      </c>
      <c r="N3" s="623"/>
      <c r="O3" s="623"/>
      <c r="P3" s="219" t="s">
        <v>13</v>
      </c>
      <c r="Q3" s="219" t="s">
        <v>13</v>
      </c>
      <c r="R3" s="219" t="s">
        <v>13</v>
      </c>
      <c r="S3" s="220" t="s">
        <v>13</v>
      </c>
      <c r="T3" s="219" t="s">
        <v>13</v>
      </c>
      <c r="U3" s="105"/>
      <c r="V3" s="114"/>
      <c r="W3" s="623" t="s">
        <v>13</v>
      </c>
      <c r="X3" s="623" t="s">
        <v>13</v>
      </c>
      <c r="Y3" s="623" t="s">
        <v>13</v>
      </c>
      <c r="Z3" s="624" t="s">
        <v>13</v>
      </c>
      <c r="AA3" s="625" t="s">
        <v>13</v>
      </c>
      <c r="AB3" s="623"/>
      <c r="AC3" s="623"/>
      <c r="AD3" s="219" t="s">
        <v>13</v>
      </c>
      <c r="AE3" s="221" t="s">
        <v>13</v>
      </c>
      <c r="AF3" s="144">
        <f t="shared" ref="AF3:AF15" si="0">SUM(B3:AE3)</f>
        <v>0</v>
      </c>
      <c r="AG3" s="476"/>
      <c r="AJ3" s="658"/>
      <c r="AK3" s="658"/>
      <c r="AL3" s="658"/>
      <c r="AM3" s="658"/>
      <c r="AN3" s="658"/>
      <c r="AO3" s="658"/>
      <c r="AP3" s="658"/>
      <c r="AQ3" s="658"/>
      <c r="AR3" s="658"/>
      <c r="AS3" s="658"/>
      <c r="AT3" s="658"/>
      <c r="AU3" s="152"/>
      <c r="AV3" s="152"/>
      <c r="AW3" s="152"/>
      <c r="AX3" s="152"/>
      <c r="AY3" s="152"/>
    </row>
    <row r="4" spans="1:51" ht="28.9" thickBot="1">
      <c r="A4" s="146" t="s">
        <v>14</v>
      </c>
      <c r="B4" s="224">
        <v>7.5</v>
      </c>
      <c r="C4" s="224">
        <v>7.5</v>
      </c>
      <c r="D4" s="224">
        <v>7.5</v>
      </c>
      <c r="E4" s="224">
        <v>7.5</v>
      </c>
      <c r="F4" s="224">
        <v>7.5</v>
      </c>
      <c r="G4" s="103"/>
      <c r="H4" s="103"/>
      <c r="I4" s="224">
        <v>7.5</v>
      </c>
      <c r="J4" s="224">
        <v>7.5</v>
      </c>
      <c r="K4" s="224">
        <v>7.5</v>
      </c>
      <c r="L4" s="372">
        <v>7.5</v>
      </c>
      <c r="M4" s="224">
        <v>7.5</v>
      </c>
      <c r="N4" s="103"/>
      <c r="O4" s="103"/>
      <c r="P4" s="224">
        <v>7.5</v>
      </c>
      <c r="Q4" s="224">
        <v>7.5</v>
      </c>
      <c r="R4" s="224">
        <v>7.5</v>
      </c>
      <c r="S4" s="224">
        <v>7.5</v>
      </c>
      <c r="T4" s="224">
        <v>7.5</v>
      </c>
      <c r="U4" s="103"/>
      <c r="V4" s="103"/>
      <c r="W4" s="224">
        <v>7.5</v>
      </c>
      <c r="X4" s="224">
        <v>7.5</v>
      </c>
      <c r="Y4" s="224">
        <v>7.5</v>
      </c>
      <c r="Z4" s="372">
        <v>7.5</v>
      </c>
      <c r="AA4" s="224">
        <v>7.5</v>
      </c>
      <c r="AB4" s="103"/>
      <c r="AC4" s="103"/>
      <c r="AD4" s="224">
        <v>7.5</v>
      </c>
      <c r="AE4" s="225">
        <v>7.5</v>
      </c>
      <c r="AF4" s="183">
        <f t="shared" si="0"/>
        <v>165</v>
      </c>
      <c r="AG4" s="477"/>
      <c r="AJ4" s="657"/>
      <c r="AK4" s="657"/>
      <c r="AL4" s="657"/>
      <c r="AM4" s="657"/>
      <c r="AN4" s="657"/>
      <c r="AO4" s="657"/>
      <c r="AP4" s="657"/>
      <c r="AQ4" s="657"/>
      <c r="AR4" s="657"/>
      <c r="AS4" s="657"/>
      <c r="AT4" s="657"/>
    </row>
    <row r="5" spans="1:51" ht="28.9" thickBot="1">
      <c r="A5" s="187" t="s">
        <v>15</v>
      </c>
      <c r="B5" s="226"/>
      <c r="C5" s="227"/>
      <c r="D5" s="227"/>
      <c r="E5" s="228"/>
      <c r="F5" s="227"/>
      <c r="G5" s="133"/>
      <c r="H5" s="133"/>
      <c r="I5" s="227"/>
      <c r="J5" s="227"/>
      <c r="K5" s="229"/>
      <c r="L5" s="373"/>
      <c r="M5" s="229"/>
      <c r="N5" s="133"/>
      <c r="O5" s="134"/>
      <c r="P5" s="227"/>
      <c r="Q5" s="229"/>
      <c r="R5" s="227"/>
      <c r="S5" s="227"/>
      <c r="T5" s="229"/>
      <c r="U5" s="133"/>
      <c r="V5" s="134"/>
      <c r="W5" s="227"/>
      <c r="X5" s="230"/>
      <c r="Y5" s="227"/>
      <c r="Z5" s="406"/>
      <c r="AA5" s="231"/>
      <c r="AB5" s="137"/>
      <c r="AC5" s="139"/>
      <c r="AD5" s="232"/>
      <c r="AE5" s="231"/>
      <c r="AF5" s="184">
        <f t="shared" si="0"/>
        <v>0</v>
      </c>
      <c r="AG5" s="478"/>
      <c r="AJ5" s="657"/>
      <c r="AK5" s="657"/>
      <c r="AL5" s="657"/>
      <c r="AM5" s="657"/>
      <c r="AN5" s="657"/>
      <c r="AO5" s="657"/>
      <c r="AP5" s="657"/>
      <c r="AQ5" s="657"/>
      <c r="AR5" s="657"/>
      <c r="AS5" s="657"/>
      <c r="AT5" s="657"/>
    </row>
    <row r="6" spans="1:51" ht="30" customHeight="1" thickBot="1">
      <c r="A6" s="146" t="s">
        <v>16</v>
      </c>
      <c r="B6" s="630" t="s">
        <v>13</v>
      </c>
      <c r="C6" s="623" t="s">
        <v>13</v>
      </c>
      <c r="D6" s="219"/>
      <c r="E6" s="219"/>
      <c r="F6" s="654" t="s">
        <v>18</v>
      </c>
      <c r="G6" s="654" t="s">
        <v>18</v>
      </c>
      <c r="H6" s="114"/>
      <c r="I6" s="219"/>
      <c r="J6" s="219"/>
      <c r="K6" s="219" t="s">
        <v>13</v>
      </c>
      <c r="L6" s="382" t="s">
        <v>13</v>
      </c>
      <c r="M6" s="221" t="s">
        <v>13</v>
      </c>
      <c r="N6" s="114"/>
      <c r="O6" s="114"/>
      <c r="P6" s="623" t="s">
        <v>13</v>
      </c>
      <c r="Q6" s="623" t="s">
        <v>13</v>
      </c>
      <c r="R6" s="623" t="s">
        <v>13</v>
      </c>
      <c r="S6" s="624" t="s">
        <v>13</v>
      </c>
      <c r="T6" s="623" t="s">
        <v>13</v>
      </c>
      <c r="U6" s="626"/>
      <c r="V6" s="623"/>
      <c r="W6" s="219" t="s">
        <v>13</v>
      </c>
      <c r="X6" s="219" t="s">
        <v>13</v>
      </c>
      <c r="Y6" s="219" t="s">
        <v>13</v>
      </c>
      <c r="Z6" s="382" t="s">
        <v>13</v>
      </c>
      <c r="AA6" s="221" t="s">
        <v>13</v>
      </c>
      <c r="AB6" s="114"/>
      <c r="AC6" s="114"/>
      <c r="AD6" s="623" t="s">
        <v>13</v>
      </c>
      <c r="AE6" s="625" t="s">
        <v>13</v>
      </c>
      <c r="AF6" s="144">
        <f t="shared" si="0"/>
        <v>0</v>
      </c>
      <c r="AG6" s="479"/>
      <c r="AJ6" s="657"/>
      <c r="AK6" s="657"/>
      <c r="AL6" s="657"/>
      <c r="AM6" s="657"/>
      <c r="AN6" s="657"/>
      <c r="AO6" s="657"/>
      <c r="AP6" s="657"/>
      <c r="AQ6" s="657"/>
      <c r="AR6" s="657"/>
      <c r="AS6" s="657"/>
      <c r="AT6" s="657"/>
    </row>
    <row r="7" spans="1:51" ht="30" customHeight="1" thickBot="1">
      <c r="A7" s="146" t="s">
        <v>19</v>
      </c>
      <c r="B7" s="224">
        <v>7.5</v>
      </c>
      <c r="C7" s="224">
        <v>7.5</v>
      </c>
      <c r="D7" s="224"/>
      <c r="E7" s="224"/>
      <c r="F7" s="655">
        <v>15</v>
      </c>
      <c r="G7" s="655">
        <v>15</v>
      </c>
      <c r="H7" s="103"/>
      <c r="I7" s="224"/>
      <c r="J7" s="224"/>
      <c r="K7" s="224">
        <v>7.5</v>
      </c>
      <c r="L7" s="372">
        <v>7.5</v>
      </c>
      <c r="M7" s="224">
        <v>7.5</v>
      </c>
      <c r="N7" s="103"/>
      <c r="O7" s="103"/>
      <c r="P7" s="224">
        <v>7.5</v>
      </c>
      <c r="Q7" s="224">
        <v>7.5</v>
      </c>
      <c r="R7" s="224">
        <v>7.5</v>
      </c>
      <c r="S7" s="224">
        <v>7.5</v>
      </c>
      <c r="T7" s="224">
        <v>7.5</v>
      </c>
      <c r="U7" s="103"/>
      <c r="V7" s="103"/>
      <c r="W7" s="224">
        <v>7.5</v>
      </c>
      <c r="X7" s="224">
        <v>7.5</v>
      </c>
      <c r="Y7" s="224">
        <v>7.5</v>
      </c>
      <c r="Z7" s="372">
        <v>7.5</v>
      </c>
      <c r="AA7" s="224">
        <v>7.5</v>
      </c>
      <c r="AB7" s="103"/>
      <c r="AC7" s="103"/>
      <c r="AD7" s="224">
        <v>7.5</v>
      </c>
      <c r="AE7" s="225">
        <v>7.5</v>
      </c>
      <c r="AF7" s="183">
        <f t="shared" si="0"/>
        <v>157.5</v>
      </c>
      <c r="AG7" s="480">
        <f>SUM(AF7-AF67)</f>
        <v>-2.5</v>
      </c>
      <c r="AJ7" s="657"/>
      <c r="AK7" s="657"/>
      <c r="AL7" s="657"/>
      <c r="AM7" s="657"/>
      <c r="AN7" s="657"/>
      <c r="AO7" s="657"/>
      <c r="AP7" s="657"/>
      <c r="AQ7" s="657"/>
      <c r="AR7" s="657"/>
      <c r="AS7" s="657"/>
      <c r="AT7" s="657"/>
    </row>
    <row r="8" spans="1:51" ht="30" customHeight="1" thickBot="1">
      <c r="A8" s="187" t="s">
        <v>20</v>
      </c>
      <c r="B8" s="226"/>
      <c r="C8" s="227"/>
      <c r="D8" s="227"/>
      <c r="E8" s="228"/>
      <c r="F8" s="656">
        <v>1</v>
      </c>
      <c r="G8" s="656">
        <v>1</v>
      </c>
      <c r="H8" s="133"/>
      <c r="I8" s="227"/>
      <c r="J8" s="227"/>
      <c r="K8" s="229"/>
      <c r="L8" s="373"/>
      <c r="M8" s="229"/>
      <c r="N8" s="133"/>
      <c r="O8" s="134"/>
      <c r="P8" s="227"/>
      <c r="Q8" s="229"/>
      <c r="R8" s="227"/>
      <c r="S8" s="227"/>
      <c r="T8" s="229"/>
      <c r="U8" s="133"/>
      <c r="V8" s="134"/>
      <c r="W8" s="227"/>
      <c r="X8" s="230"/>
      <c r="Y8" s="227"/>
      <c r="Z8" s="406"/>
      <c r="AA8" s="231"/>
      <c r="AB8" s="137"/>
      <c r="AC8" s="139"/>
      <c r="AD8" s="232"/>
      <c r="AE8" s="231"/>
      <c r="AF8" s="184">
        <f t="shared" si="0"/>
        <v>2</v>
      </c>
      <c r="AG8" s="481"/>
      <c r="AJ8" s="657"/>
      <c r="AK8" s="657"/>
      <c r="AL8" s="657"/>
      <c r="AM8" s="657"/>
      <c r="AN8" s="657"/>
      <c r="AO8" s="657"/>
      <c r="AP8" s="657"/>
      <c r="AQ8" s="657"/>
      <c r="AR8" s="657"/>
      <c r="AS8" s="657"/>
      <c r="AT8" s="657"/>
    </row>
    <row r="9" spans="1:51" ht="30" customHeight="1" thickBot="1">
      <c r="A9" s="173" t="s">
        <v>21</v>
      </c>
      <c r="B9" s="234"/>
      <c r="C9" s="235"/>
      <c r="D9" s="235" t="s">
        <v>18</v>
      </c>
      <c r="E9" s="236" t="s">
        <v>18</v>
      </c>
      <c r="F9" s="237"/>
      <c r="G9" s="207"/>
      <c r="H9" s="207"/>
      <c r="I9" s="235"/>
      <c r="J9" s="238" t="s">
        <v>18</v>
      </c>
      <c r="K9" s="235" t="s">
        <v>18</v>
      </c>
      <c r="L9" s="404"/>
      <c r="M9" s="240"/>
      <c r="N9" s="207"/>
      <c r="O9" s="207"/>
      <c r="P9" s="235" t="s">
        <v>18</v>
      </c>
      <c r="Q9" s="235" t="s">
        <v>18</v>
      </c>
      <c r="R9" s="235"/>
      <c r="S9" s="239"/>
      <c r="T9" s="241"/>
      <c r="U9" s="339"/>
      <c r="V9" s="207" t="s">
        <v>18</v>
      </c>
      <c r="W9" s="235" t="s">
        <v>18</v>
      </c>
      <c r="X9" s="243"/>
      <c r="Y9" s="244"/>
      <c r="Z9" s="404"/>
      <c r="AA9" s="237"/>
      <c r="AB9" s="208" t="s">
        <v>18</v>
      </c>
      <c r="AC9" s="333" t="s">
        <v>18</v>
      </c>
      <c r="AD9" s="236"/>
      <c r="AE9" s="245"/>
      <c r="AF9" s="144">
        <f t="shared" si="0"/>
        <v>0</v>
      </c>
      <c r="AG9" s="482"/>
      <c r="AJ9" s="657"/>
      <c r="AK9" s="657"/>
      <c r="AL9" s="657"/>
      <c r="AM9" s="657"/>
      <c r="AN9" s="657"/>
      <c r="AO9" s="657"/>
      <c r="AP9" s="657"/>
      <c r="AQ9" s="657"/>
      <c r="AR9" s="657"/>
      <c r="AS9" s="657"/>
      <c r="AT9" s="657"/>
    </row>
    <row r="10" spans="1:51" ht="28.9" thickBot="1">
      <c r="A10" s="146" t="s">
        <v>22</v>
      </c>
      <c r="B10" s="223"/>
      <c r="C10" s="224"/>
      <c r="D10" s="224">
        <v>15</v>
      </c>
      <c r="E10" s="224">
        <v>15</v>
      </c>
      <c r="F10" s="246">
        <v>0.5</v>
      </c>
      <c r="G10" s="108"/>
      <c r="H10" s="103"/>
      <c r="I10" s="224"/>
      <c r="J10" s="224">
        <v>15</v>
      </c>
      <c r="K10" s="224">
        <v>15</v>
      </c>
      <c r="L10" s="376">
        <v>5.5</v>
      </c>
      <c r="M10" s="247"/>
      <c r="N10" s="108"/>
      <c r="O10" s="103"/>
      <c r="P10" s="224">
        <v>15</v>
      </c>
      <c r="Q10" s="224">
        <v>15</v>
      </c>
      <c r="R10" s="224">
        <v>0.5</v>
      </c>
      <c r="S10" s="246"/>
      <c r="T10" s="248"/>
      <c r="U10" s="108"/>
      <c r="V10" s="103">
        <v>15</v>
      </c>
      <c r="W10" s="224">
        <v>15</v>
      </c>
      <c r="X10" s="224">
        <v>0.5</v>
      </c>
      <c r="Y10" s="224"/>
      <c r="Z10" s="375">
        <v>5</v>
      </c>
      <c r="AA10" s="247"/>
      <c r="AB10" s="108">
        <v>15</v>
      </c>
      <c r="AC10" s="103">
        <v>15</v>
      </c>
      <c r="AD10" s="224">
        <v>0.5</v>
      </c>
      <c r="AE10" s="225"/>
      <c r="AF10" s="183">
        <f t="shared" si="0"/>
        <v>162.5</v>
      </c>
      <c r="AG10" s="480">
        <f>SUM(AF10-AF67)</f>
        <v>2.5</v>
      </c>
    </row>
    <row r="11" spans="1:51" ht="28.9" thickBot="1">
      <c r="A11" s="187" t="s">
        <v>23</v>
      </c>
      <c r="B11" s="226"/>
      <c r="C11" s="227"/>
      <c r="D11" s="227">
        <v>1</v>
      </c>
      <c r="E11" s="228">
        <v>1</v>
      </c>
      <c r="F11" s="227"/>
      <c r="G11" s="133"/>
      <c r="H11" s="133"/>
      <c r="I11" s="227"/>
      <c r="J11" s="227">
        <v>1</v>
      </c>
      <c r="K11" s="229">
        <v>1</v>
      </c>
      <c r="L11" s="373"/>
      <c r="M11" s="229"/>
      <c r="N11" s="133"/>
      <c r="O11" s="133"/>
      <c r="P11" s="228">
        <v>1</v>
      </c>
      <c r="Q11" s="229">
        <v>1</v>
      </c>
      <c r="R11" s="227"/>
      <c r="S11" s="227"/>
      <c r="T11" s="229"/>
      <c r="U11" s="133"/>
      <c r="V11" s="134">
        <v>1</v>
      </c>
      <c r="W11" s="227">
        <v>1</v>
      </c>
      <c r="X11" s="229"/>
      <c r="Y11" s="227"/>
      <c r="Z11" s="380"/>
      <c r="AA11" s="230"/>
      <c r="AB11" s="133">
        <v>1</v>
      </c>
      <c r="AC11" s="134">
        <v>1</v>
      </c>
      <c r="AD11" s="227"/>
      <c r="AE11" s="230"/>
      <c r="AF11" s="184">
        <f t="shared" si="0"/>
        <v>10</v>
      </c>
      <c r="AG11" s="483"/>
    </row>
    <row r="12" spans="1:51" ht="28.9" hidden="1" thickBot="1">
      <c r="A12" s="173"/>
      <c r="B12" s="249"/>
      <c r="C12" s="250"/>
      <c r="D12" s="251"/>
      <c r="E12" s="246"/>
      <c r="F12" s="246"/>
      <c r="G12" s="102"/>
      <c r="H12" s="102"/>
      <c r="I12" s="251"/>
      <c r="J12" s="251"/>
      <c r="K12" s="251"/>
      <c r="L12" s="376"/>
      <c r="M12" s="247"/>
      <c r="N12" s="102"/>
      <c r="O12" s="102"/>
      <c r="P12" s="222"/>
      <c r="Q12" s="246"/>
      <c r="R12" s="252"/>
      <c r="S12" s="246"/>
      <c r="T12" s="222"/>
      <c r="U12" s="111"/>
      <c r="V12" s="105"/>
      <c r="W12" s="222"/>
      <c r="X12" s="253"/>
      <c r="Y12" s="222"/>
      <c r="Z12" s="379"/>
      <c r="AA12" s="254"/>
      <c r="AB12" s="105"/>
      <c r="AC12" s="107"/>
      <c r="AD12" s="248"/>
      <c r="AE12" s="252"/>
      <c r="AF12" s="144">
        <f t="shared" si="0"/>
        <v>0</v>
      </c>
      <c r="AG12" s="479"/>
    </row>
    <row r="13" spans="1:51" ht="28.9" hidden="1" thickBot="1">
      <c r="A13" s="146"/>
      <c r="B13" s="255"/>
      <c r="C13" s="248"/>
      <c r="D13" s="246"/>
      <c r="E13" s="246"/>
      <c r="F13" s="246"/>
      <c r="G13" s="108"/>
      <c r="H13" s="108"/>
      <c r="I13" s="248"/>
      <c r="J13" s="246"/>
      <c r="K13" s="246"/>
      <c r="L13" s="376"/>
      <c r="M13" s="247"/>
      <c r="N13" s="108"/>
      <c r="O13" s="107"/>
      <c r="P13" s="246"/>
      <c r="Q13" s="246"/>
      <c r="R13" s="252"/>
      <c r="S13" s="246"/>
      <c r="T13" s="246"/>
      <c r="U13" s="107"/>
      <c r="V13" s="108"/>
      <c r="W13" s="246"/>
      <c r="X13" s="246"/>
      <c r="Y13" s="246"/>
      <c r="Z13" s="376"/>
      <c r="AA13" s="252"/>
      <c r="AB13" s="108"/>
      <c r="AC13" s="107"/>
      <c r="AD13" s="248"/>
      <c r="AE13" s="252"/>
      <c r="AF13" s="183">
        <f t="shared" si="0"/>
        <v>0</v>
      </c>
      <c r="AG13" s="480">
        <f>SUM(AF13-AF67)</f>
        <v>-160</v>
      </c>
    </row>
    <row r="14" spans="1:51" ht="28.9" hidden="1" thickBot="1">
      <c r="A14" s="187"/>
      <c r="B14" s="226"/>
      <c r="C14" s="227"/>
      <c r="D14" s="227"/>
      <c r="E14" s="228"/>
      <c r="F14" s="227"/>
      <c r="G14" s="133"/>
      <c r="H14" s="133"/>
      <c r="I14" s="227"/>
      <c r="J14" s="227"/>
      <c r="K14" s="229"/>
      <c r="L14" s="373"/>
      <c r="M14" s="229"/>
      <c r="N14" s="133"/>
      <c r="O14" s="134"/>
      <c r="P14" s="227"/>
      <c r="Q14" s="229"/>
      <c r="R14" s="227"/>
      <c r="S14" s="227"/>
      <c r="T14" s="229"/>
      <c r="U14" s="133"/>
      <c r="V14" s="134"/>
      <c r="W14" s="227"/>
      <c r="X14" s="229"/>
      <c r="Y14" s="227"/>
      <c r="Z14" s="373"/>
      <c r="AA14" s="230"/>
      <c r="AB14" s="133"/>
      <c r="AC14" s="134"/>
      <c r="AD14" s="227"/>
      <c r="AE14" s="230"/>
      <c r="AF14" s="184">
        <f t="shared" si="0"/>
        <v>0</v>
      </c>
      <c r="AG14" s="483"/>
    </row>
    <row r="15" spans="1:51" ht="28.9" thickBot="1">
      <c r="A15" s="173" t="s">
        <v>24</v>
      </c>
      <c r="B15" s="255" t="s">
        <v>18</v>
      </c>
      <c r="C15" s="248" t="s">
        <v>18</v>
      </c>
      <c r="D15" s="248"/>
      <c r="E15" s="248"/>
      <c r="F15" s="246"/>
      <c r="G15" s="105"/>
      <c r="H15" s="111" t="s">
        <v>18</v>
      </c>
      <c r="I15" s="222" t="s">
        <v>18</v>
      </c>
      <c r="J15" s="248"/>
      <c r="K15" s="246"/>
      <c r="L15" s="376"/>
      <c r="M15" s="256"/>
      <c r="N15" s="105" t="s">
        <v>18</v>
      </c>
      <c r="O15" s="105" t="s">
        <v>18</v>
      </c>
      <c r="P15" s="248"/>
      <c r="Q15" s="246"/>
      <c r="R15" s="246"/>
      <c r="S15" s="257"/>
      <c r="T15" s="222" t="s">
        <v>18</v>
      </c>
      <c r="U15" s="105" t="s">
        <v>18</v>
      </c>
      <c r="V15" s="107"/>
      <c r="W15" s="246"/>
      <c r="X15" s="246"/>
      <c r="Y15" s="222"/>
      <c r="Z15" s="401" t="s">
        <v>18</v>
      </c>
      <c r="AA15" s="256" t="s">
        <v>18</v>
      </c>
      <c r="AB15" s="108"/>
      <c r="AC15" s="108"/>
      <c r="AD15" s="246"/>
      <c r="AE15" s="247"/>
      <c r="AF15" s="144">
        <f t="shared" si="0"/>
        <v>0</v>
      </c>
      <c r="AG15" s="479"/>
    </row>
    <row r="16" spans="1:51" ht="28.9" thickBot="1">
      <c r="A16" s="146" t="s">
        <v>25</v>
      </c>
      <c r="B16" s="255">
        <v>15</v>
      </c>
      <c r="C16" s="248">
        <v>15</v>
      </c>
      <c r="D16" s="248">
        <v>0.5</v>
      </c>
      <c r="E16" s="248"/>
      <c r="F16" s="246"/>
      <c r="G16" s="108"/>
      <c r="H16" s="107">
        <v>15</v>
      </c>
      <c r="I16" s="246">
        <v>15</v>
      </c>
      <c r="J16" s="248">
        <v>0.5</v>
      </c>
      <c r="K16" s="246"/>
      <c r="L16" s="376">
        <v>5</v>
      </c>
      <c r="M16" s="247"/>
      <c r="N16" s="108">
        <v>15</v>
      </c>
      <c r="O16" s="108">
        <v>15</v>
      </c>
      <c r="P16" s="248">
        <v>0.5</v>
      </c>
      <c r="Q16" s="246"/>
      <c r="R16" s="258"/>
      <c r="S16" s="246"/>
      <c r="T16" s="248">
        <v>15</v>
      </c>
      <c r="U16" s="108">
        <v>15</v>
      </c>
      <c r="V16" s="107">
        <v>0.5</v>
      </c>
      <c r="W16" s="246"/>
      <c r="X16" s="246"/>
      <c r="Y16" s="246"/>
      <c r="Z16" s="375">
        <v>15</v>
      </c>
      <c r="AA16" s="247">
        <v>15</v>
      </c>
      <c r="AB16" s="108">
        <v>0.5</v>
      </c>
      <c r="AC16" s="108"/>
      <c r="AD16" s="246"/>
      <c r="AE16" s="247"/>
      <c r="AF16" s="183">
        <f>SUM(B16:AE16)</f>
        <v>157.5</v>
      </c>
      <c r="AG16" s="480">
        <f>SUM(AF16-AF67)</f>
        <v>-2.5</v>
      </c>
    </row>
    <row r="17" spans="1:101" ht="28.9" thickBot="1">
      <c r="A17" s="187" t="s">
        <v>23</v>
      </c>
      <c r="B17" s="226">
        <v>1</v>
      </c>
      <c r="C17" s="227">
        <v>1</v>
      </c>
      <c r="D17" s="227"/>
      <c r="E17" s="228"/>
      <c r="F17" s="227"/>
      <c r="G17" s="133"/>
      <c r="H17" s="133">
        <v>1</v>
      </c>
      <c r="I17" s="227">
        <v>1</v>
      </c>
      <c r="J17" s="227"/>
      <c r="K17" s="229"/>
      <c r="L17" s="373"/>
      <c r="M17" s="229"/>
      <c r="N17" s="133">
        <v>1</v>
      </c>
      <c r="O17" s="134">
        <v>1</v>
      </c>
      <c r="P17" s="227"/>
      <c r="Q17" s="229"/>
      <c r="R17" s="227"/>
      <c r="S17" s="227"/>
      <c r="T17" s="229">
        <v>1</v>
      </c>
      <c r="U17" s="133">
        <v>1</v>
      </c>
      <c r="V17" s="134"/>
      <c r="W17" s="227"/>
      <c r="X17" s="229"/>
      <c r="Y17" s="227"/>
      <c r="Z17" s="373">
        <v>1</v>
      </c>
      <c r="AA17" s="230">
        <v>1</v>
      </c>
      <c r="AB17" s="133"/>
      <c r="AC17" s="134"/>
      <c r="AD17" s="227"/>
      <c r="AE17" s="230"/>
      <c r="AF17" s="184">
        <f t="shared" ref="AF17:AF35" si="1">SUM(B17:AE17)</f>
        <v>10</v>
      </c>
      <c r="AG17" s="483"/>
    </row>
    <row r="18" spans="1:101" ht="28.9" thickBot="1">
      <c r="A18" s="173" t="s">
        <v>26</v>
      </c>
      <c r="B18" s="616"/>
      <c r="C18" s="617"/>
      <c r="D18" s="617"/>
      <c r="E18" s="617"/>
      <c r="F18" s="617"/>
      <c r="G18" s="617"/>
      <c r="H18" s="114"/>
      <c r="I18" s="219"/>
      <c r="J18" s="219"/>
      <c r="K18" s="219"/>
      <c r="L18" s="382" t="s">
        <v>18</v>
      </c>
      <c r="M18" s="221" t="s">
        <v>18</v>
      </c>
      <c r="N18" s="114"/>
      <c r="O18" s="114"/>
      <c r="P18" s="219"/>
      <c r="Q18" s="219"/>
      <c r="R18" s="219" t="s">
        <v>18</v>
      </c>
      <c r="S18" s="220" t="s">
        <v>18</v>
      </c>
      <c r="T18" s="219"/>
      <c r="U18" s="105"/>
      <c r="V18" s="114"/>
      <c r="W18" s="219"/>
      <c r="X18" s="219" t="s">
        <v>18</v>
      </c>
      <c r="Y18" s="219" t="s">
        <v>18</v>
      </c>
      <c r="Z18" s="382"/>
      <c r="AA18" s="221"/>
      <c r="AB18" s="114"/>
      <c r="AC18" s="114"/>
      <c r="AD18" s="219" t="s">
        <v>18</v>
      </c>
      <c r="AE18" s="221" t="s">
        <v>18</v>
      </c>
      <c r="AF18" s="144">
        <f t="shared" si="1"/>
        <v>0</v>
      </c>
      <c r="AG18" s="479"/>
    </row>
    <row r="19" spans="1:101" ht="33" customHeight="1" thickBot="1">
      <c r="A19" s="146" t="s">
        <v>27</v>
      </c>
      <c r="B19" s="618"/>
      <c r="C19" s="619"/>
      <c r="D19" s="619"/>
      <c r="E19" s="619"/>
      <c r="F19" s="619">
        <v>15</v>
      </c>
      <c r="G19" s="619">
        <v>15</v>
      </c>
      <c r="H19" s="103"/>
      <c r="I19" s="224"/>
      <c r="J19" s="224"/>
      <c r="K19" s="224"/>
      <c r="L19" s="372">
        <v>15</v>
      </c>
      <c r="M19" s="224">
        <v>15</v>
      </c>
      <c r="N19" s="103">
        <v>0.5</v>
      </c>
      <c r="O19" s="103"/>
      <c r="P19" s="224"/>
      <c r="Q19" s="224"/>
      <c r="R19" s="224">
        <v>15</v>
      </c>
      <c r="S19" s="224">
        <v>15</v>
      </c>
      <c r="T19" s="224">
        <v>0.5</v>
      </c>
      <c r="U19" s="103"/>
      <c r="V19" s="103"/>
      <c r="W19" s="224"/>
      <c r="X19" s="224">
        <v>15</v>
      </c>
      <c r="Y19" s="224">
        <v>15</v>
      </c>
      <c r="Z19" s="372">
        <v>5.5</v>
      </c>
      <c r="AA19" s="224"/>
      <c r="AB19" s="103"/>
      <c r="AC19" s="103"/>
      <c r="AD19" s="224">
        <v>15</v>
      </c>
      <c r="AE19" s="225">
        <v>15</v>
      </c>
      <c r="AF19" s="183">
        <f t="shared" si="1"/>
        <v>156.5</v>
      </c>
      <c r="AG19" s="480">
        <f>SUM(AF19-AF67)</f>
        <v>-3.5</v>
      </c>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row>
    <row r="20" spans="1:101" ht="30" customHeight="1" thickBot="1">
      <c r="A20" s="187" t="s">
        <v>28</v>
      </c>
      <c r="B20" s="457"/>
      <c r="C20" s="453"/>
      <c r="D20" s="453"/>
      <c r="E20" s="471"/>
      <c r="F20" s="453"/>
      <c r="G20" s="453"/>
      <c r="H20" s="133"/>
      <c r="I20" s="227"/>
      <c r="J20" s="227"/>
      <c r="K20" s="229"/>
      <c r="L20" s="373">
        <v>1</v>
      </c>
      <c r="M20" s="229">
        <v>1</v>
      </c>
      <c r="N20" s="133"/>
      <c r="O20" s="134"/>
      <c r="P20" s="227"/>
      <c r="Q20" s="229"/>
      <c r="R20" s="227">
        <v>1</v>
      </c>
      <c r="S20" s="227">
        <v>1</v>
      </c>
      <c r="T20" s="229"/>
      <c r="U20" s="133"/>
      <c r="V20" s="134"/>
      <c r="W20" s="227"/>
      <c r="X20" s="230">
        <v>1</v>
      </c>
      <c r="Y20" s="232">
        <v>1</v>
      </c>
      <c r="Z20" s="406"/>
      <c r="AA20" s="231"/>
      <c r="AB20" s="137"/>
      <c r="AC20" s="139"/>
      <c r="AD20" s="232">
        <v>1</v>
      </c>
      <c r="AE20" s="231">
        <v>1</v>
      </c>
      <c r="AF20" s="184">
        <f t="shared" si="1"/>
        <v>8</v>
      </c>
      <c r="AG20" s="483"/>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row>
    <row r="21" spans="1:101" ht="39" thickBot="1">
      <c r="A21" s="173" t="s">
        <v>29</v>
      </c>
      <c r="B21" s="255"/>
      <c r="C21" s="246"/>
      <c r="D21" s="246"/>
      <c r="E21" s="246" t="s">
        <v>18</v>
      </c>
      <c r="F21" s="246" t="s">
        <v>18</v>
      </c>
      <c r="G21" s="108"/>
      <c r="H21" s="108"/>
      <c r="I21" s="246"/>
      <c r="J21" s="246"/>
      <c r="K21" s="246" t="s">
        <v>18</v>
      </c>
      <c r="L21" s="375" t="s">
        <v>18</v>
      </c>
      <c r="M21" s="247"/>
      <c r="N21" s="108"/>
      <c r="O21" s="108"/>
      <c r="P21" s="246"/>
      <c r="Q21" s="252" t="s">
        <v>18</v>
      </c>
      <c r="R21" s="246" t="s">
        <v>18</v>
      </c>
      <c r="S21" s="246"/>
      <c r="T21" s="252"/>
      <c r="U21" s="108"/>
      <c r="V21" s="109"/>
      <c r="W21" s="246" t="s">
        <v>18</v>
      </c>
      <c r="X21" s="252" t="s">
        <v>18</v>
      </c>
      <c r="Y21" s="604"/>
      <c r="Z21" s="603"/>
      <c r="AA21" s="621"/>
      <c r="AB21" s="604"/>
      <c r="AC21" s="602">
        <v>2</v>
      </c>
      <c r="AD21" s="462">
        <v>2</v>
      </c>
      <c r="AE21" s="622"/>
      <c r="AF21" s="144">
        <f t="shared" si="1"/>
        <v>4</v>
      </c>
      <c r="AG21" s="479"/>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row>
    <row r="22" spans="1:101" ht="25.15" customHeight="1" thickBot="1">
      <c r="A22" s="146" t="s">
        <v>30</v>
      </c>
      <c r="B22" s="255"/>
      <c r="C22" s="246"/>
      <c r="D22" s="246"/>
      <c r="E22" s="246">
        <v>15</v>
      </c>
      <c r="F22" s="246">
        <v>15</v>
      </c>
      <c r="G22" s="108">
        <v>0.5</v>
      </c>
      <c r="H22" s="108"/>
      <c r="I22" s="246"/>
      <c r="J22" s="246"/>
      <c r="K22" s="246">
        <v>15</v>
      </c>
      <c r="L22" s="375">
        <v>15</v>
      </c>
      <c r="M22" s="247">
        <v>0.5</v>
      </c>
      <c r="N22" s="108"/>
      <c r="O22" s="108"/>
      <c r="P22" s="246"/>
      <c r="Q22" s="252">
        <v>15</v>
      </c>
      <c r="R22" s="246">
        <v>15</v>
      </c>
      <c r="S22" s="246">
        <v>0.5</v>
      </c>
      <c r="T22" s="252"/>
      <c r="U22" s="108"/>
      <c r="V22" s="109"/>
      <c r="W22" s="246">
        <v>15</v>
      </c>
      <c r="X22" s="252">
        <v>15</v>
      </c>
      <c r="Y22" s="451">
        <v>0.5</v>
      </c>
      <c r="Z22" s="451"/>
      <c r="AA22" s="459"/>
      <c r="AB22" s="451"/>
      <c r="AC22" s="459">
        <v>15</v>
      </c>
      <c r="AD22" s="451">
        <v>15</v>
      </c>
      <c r="AE22" s="459"/>
      <c r="AF22" s="183">
        <f t="shared" si="1"/>
        <v>152</v>
      </c>
      <c r="AG22" s="480">
        <f>SUM(AF22-AF67)</f>
        <v>-8</v>
      </c>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row>
    <row r="23" spans="1:101" ht="28.15" customHeight="1" thickBot="1">
      <c r="A23" s="187" t="s">
        <v>28</v>
      </c>
      <c r="B23" s="226"/>
      <c r="C23" s="227"/>
      <c r="D23" s="227"/>
      <c r="E23" s="227">
        <v>1</v>
      </c>
      <c r="F23" s="227">
        <v>1</v>
      </c>
      <c r="G23" s="133"/>
      <c r="H23" s="133"/>
      <c r="I23" s="227"/>
      <c r="J23" s="227"/>
      <c r="K23" s="227">
        <v>1</v>
      </c>
      <c r="L23" s="405">
        <v>1</v>
      </c>
      <c r="M23" s="230"/>
      <c r="N23" s="133"/>
      <c r="O23" s="133"/>
      <c r="P23" s="227"/>
      <c r="Q23" s="229">
        <v>1</v>
      </c>
      <c r="R23" s="227">
        <v>1</v>
      </c>
      <c r="S23" s="227"/>
      <c r="T23" s="229"/>
      <c r="U23" s="133"/>
      <c r="V23" s="136"/>
      <c r="W23" s="227">
        <v>1</v>
      </c>
      <c r="X23" s="229">
        <v>1</v>
      </c>
      <c r="Y23" s="453"/>
      <c r="Z23" s="453"/>
      <c r="AA23" s="472"/>
      <c r="AB23" s="453"/>
      <c r="AC23" s="472"/>
      <c r="AD23" s="453"/>
      <c r="AE23" s="613"/>
      <c r="AF23" s="184">
        <f t="shared" si="1"/>
        <v>8</v>
      </c>
      <c r="AG23" s="483"/>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row>
    <row r="24" spans="1:101" ht="28.9" hidden="1" thickBot="1">
      <c r="A24" s="173"/>
      <c r="B24" s="292"/>
      <c r="C24" s="220"/>
      <c r="D24" s="220"/>
      <c r="E24" s="220"/>
      <c r="F24" s="220"/>
      <c r="G24" s="122"/>
      <c r="H24" s="122"/>
      <c r="I24" s="220"/>
      <c r="J24" s="220"/>
      <c r="K24" s="220"/>
      <c r="L24" s="382"/>
      <c r="M24" s="293"/>
      <c r="N24" s="122"/>
      <c r="O24" s="122"/>
      <c r="P24" s="220"/>
      <c r="Q24" s="220"/>
      <c r="R24" s="220"/>
      <c r="S24" s="220"/>
      <c r="T24" s="426"/>
      <c r="U24" s="122"/>
      <c r="V24" s="342"/>
      <c r="W24" s="220"/>
      <c r="X24" s="426"/>
      <c r="Y24" s="220"/>
      <c r="Z24" s="382"/>
      <c r="AA24" s="426"/>
      <c r="AB24" s="122"/>
      <c r="AC24" s="427"/>
      <c r="AD24" s="220"/>
      <c r="AE24" s="426"/>
      <c r="AF24" s="144">
        <f t="shared" si="1"/>
        <v>0</v>
      </c>
      <c r="AG24" s="479"/>
    </row>
    <row r="25" spans="1:101" ht="28.9" hidden="1" thickBot="1">
      <c r="A25" s="146"/>
      <c r="B25" s="255"/>
      <c r="C25" s="246"/>
      <c r="D25" s="246"/>
      <c r="E25" s="246"/>
      <c r="F25" s="246"/>
      <c r="G25" s="108"/>
      <c r="H25" s="108"/>
      <c r="I25" s="246"/>
      <c r="J25" s="246"/>
      <c r="K25" s="246"/>
      <c r="L25" s="376"/>
      <c r="M25" s="247"/>
      <c r="N25" s="108"/>
      <c r="O25" s="108"/>
      <c r="P25" s="246"/>
      <c r="Q25" s="246"/>
      <c r="R25" s="246"/>
      <c r="S25" s="246"/>
      <c r="T25" s="252"/>
      <c r="U25" s="108"/>
      <c r="V25" s="108"/>
      <c r="W25" s="246"/>
      <c r="X25" s="252"/>
      <c r="Y25" s="246"/>
      <c r="Z25" s="376"/>
      <c r="AA25" s="246"/>
      <c r="AB25" s="108"/>
      <c r="AC25" s="113"/>
      <c r="AD25" s="246"/>
      <c r="AE25" s="252"/>
      <c r="AF25" s="183">
        <f t="shared" si="1"/>
        <v>0</v>
      </c>
      <c r="AG25" s="480">
        <f>SUM(AF25-AF67)</f>
        <v>-160</v>
      </c>
    </row>
    <row r="26" spans="1:101" ht="28.9" hidden="1" thickBot="1">
      <c r="A26" s="187"/>
      <c r="B26" s="226"/>
      <c r="C26" s="227"/>
      <c r="D26" s="227"/>
      <c r="E26" s="227"/>
      <c r="F26" s="227"/>
      <c r="G26" s="133"/>
      <c r="H26" s="133"/>
      <c r="I26" s="227"/>
      <c r="J26" s="227"/>
      <c r="K26" s="227"/>
      <c r="L26" s="405"/>
      <c r="M26" s="230"/>
      <c r="N26" s="133"/>
      <c r="O26" s="133"/>
      <c r="P26" s="227"/>
      <c r="Q26" s="227"/>
      <c r="R26" s="227"/>
      <c r="S26" s="228"/>
      <c r="T26" s="229"/>
      <c r="U26" s="133"/>
      <c r="V26" s="136"/>
      <c r="W26" s="227"/>
      <c r="X26" s="229"/>
      <c r="Y26" s="227"/>
      <c r="Z26" s="373"/>
      <c r="AA26" s="229"/>
      <c r="AB26" s="133"/>
      <c r="AC26" s="134"/>
      <c r="AD26" s="227"/>
      <c r="AE26" s="229"/>
      <c r="AF26" s="184">
        <f t="shared" si="1"/>
        <v>0</v>
      </c>
      <c r="AG26" s="483"/>
    </row>
    <row r="27" spans="1:101" ht="28.9" thickBot="1">
      <c r="A27" s="465" t="s">
        <v>31</v>
      </c>
      <c r="B27" s="255"/>
      <c r="C27" s="246" t="s">
        <v>18</v>
      </c>
      <c r="D27" s="220" t="s">
        <v>18</v>
      </c>
      <c r="E27" s="220"/>
      <c r="F27" s="220"/>
      <c r="G27" s="108"/>
      <c r="H27" s="108"/>
      <c r="I27" s="246" t="s">
        <v>18</v>
      </c>
      <c r="J27" s="220" t="s">
        <v>18</v>
      </c>
      <c r="K27" s="220"/>
      <c r="L27" s="382"/>
      <c r="M27" s="247"/>
      <c r="N27" s="108"/>
      <c r="O27" s="108" t="s">
        <v>18</v>
      </c>
      <c r="P27" s="220" t="s">
        <v>18</v>
      </c>
      <c r="Q27" s="220"/>
      <c r="R27" s="220"/>
      <c r="S27" s="246"/>
      <c r="T27" s="248" t="s">
        <v>32</v>
      </c>
      <c r="U27" s="108" t="s">
        <v>18</v>
      </c>
      <c r="V27" s="122" t="s">
        <v>18</v>
      </c>
      <c r="W27" s="220"/>
      <c r="X27" s="220"/>
      <c r="Y27" s="246"/>
      <c r="Z27" s="376"/>
      <c r="AA27" s="263" t="s">
        <v>18</v>
      </c>
      <c r="AB27" s="122" t="s">
        <v>18</v>
      </c>
      <c r="AC27" s="122"/>
      <c r="AD27" s="220"/>
      <c r="AE27" s="252"/>
      <c r="AF27" s="144">
        <f t="shared" si="1"/>
        <v>0</v>
      </c>
      <c r="AG27" s="479"/>
    </row>
    <row r="28" spans="1:101" ht="34.15" customHeight="1" thickBot="1">
      <c r="A28" s="146" t="s">
        <v>33</v>
      </c>
      <c r="B28" s="255"/>
      <c r="C28" s="246">
        <v>15</v>
      </c>
      <c r="D28" s="246">
        <v>15</v>
      </c>
      <c r="E28" s="246">
        <v>0.5</v>
      </c>
      <c r="F28" s="246"/>
      <c r="G28" s="108"/>
      <c r="H28" s="108"/>
      <c r="I28" s="246">
        <v>15</v>
      </c>
      <c r="J28" s="246">
        <v>15</v>
      </c>
      <c r="K28" s="246">
        <v>0.5</v>
      </c>
      <c r="L28" s="376">
        <v>4</v>
      </c>
      <c r="M28" s="247"/>
      <c r="N28" s="108"/>
      <c r="O28" s="108">
        <v>15</v>
      </c>
      <c r="P28" s="246">
        <v>15</v>
      </c>
      <c r="Q28" s="246">
        <v>0.5</v>
      </c>
      <c r="R28" s="246"/>
      <c r="S28" s="246"/>
      <c r="T28" s="248"/>
      <c r="U28" s="108">
        <v>15</v>
      </c>
      <c r="V28" s="108">
        <v>15</v>
      </c>
      <c r="W28" s="246">
        <v>0.5</v>
      </c>
      <c r="X28" s="246"/>
      <c r="Y28" s="246"/>
      <c r="Z28" s="376">
        <v>4</v>
      </c>
      <c r="AA28" s="247">
        <v>15</v>
      </c>
      <c r="AB28" s="108">
        <v>15</v>
      </c>
      <c r="AC28" s="108">
        <v>0.5</v>
      </c>
      <c r="AD28" s="246"/>
      <c r="AE28" s="252"/>
      <c r="AF28" s="183">
        <f t="shared" si="1"/>
        <v>160.5</v>
      </c>
      <c r="AG28" s="480">
        <f>SUM(AF28-AF67)</f>
        <v>0.5</v>
      </c>
      <c r="AH28" s="2"/>
    </row>
    <row r="29" spans="1:101" ht="37.15" thickBot="1">
      <c r="A29" s="188" t="s">
        <v>34</v>
      </c>
      <c r="B29" s="303"/>
      <c r="C29" s="304">
        <v>1</v>
      </c>
      <c r="D29" s="227">
        <v>1</v>
      </c>
      <c r="E29" s="227"/>
      <c r="F29" s="227"/>
      <c r="G29" s="177"/>
      <c r="H29" s="177"/>
      <c r="I29" s="304">
        <v>1</v>
      </c>
      <c r="J29" s="227">
        <v>1</v>
      </c>
      <c r="K29" s="227"/>
      <c r="L29" s="373"/>
      <c r="M29" s="306"/>
      <c r="N29" s="177"/>
      <c r="O29" s="179">
        <v>1</v>
      </c>
      <c r="P29" s="227">
        <v>1</v>
      </c>
      <c r="Q29" s="227"/>
      <c r="R29" s="227"/>
      <c r="S29" s="304"/>
      <c r="T29" s="305"/>
      <c r="U29" s="177">
        <v>1</v>
      </c>
      <c r="V29" s="133">
        <v>1</v>
      </c>
      <c r="W29" s="227"/>
      <c r="X29" s="227"/>
      <c r="Y29" s="304"/>
      <c r="Z29" s="398"/>
      <c r="AA29" s="307">
        <v>1</v>
      </c>
      <c r="AB29" s="133">
        <v>1</v>
      </c>
      <c r="AC29" s="133"/>
      <c r="AD29" s="227"/>
      <c r="AE29" s="306"/>
      <c r="AF29" s="184">
        <f t="shared" si="1"/>
        <v>10</v>
      </c>
      <c r="AG29" s="483"/>
      <c r="AH29" s="100"/>
    </row>
    <row r="30" spans="1:101" ht="34.15" customHeight="1" thickBot="1">
      <c r="A30" s="173" t="s">
        <v>74</v>
      </c>
      <c r="B30" s="218" t="s">
        <v>18</v>
      </c>
      <c r="C30" s="219"/>
      <c r="D30" s="219"/>
      <c r="E30" s="219"/>
      <c r="F30" s="219"/>
      <c r="G30" s="114" t="s">
        <v>18</v>
      </c>
      <c r="H30" s="114" t="s">
        <v>18</v>
      </c>
      <c r="I30" s="219"/>
      <c r="J30" s="219"/>
      <c r="K30" s="219"/>
      <c r="L30" s="382"/>
      <c r="M30" s="221" t="s">
        <v>18</v>
      </c>
      <c r="N30" s="114" t="s">
        <v>18</v>
      </c>
      <c r="O30" s="114"/>
      <c r="P30" s="219"/>
      <c r="Q30" s="219"/>
      <c r="R30" s="219"/>
      <c r="S30" s="220" t="s">
        <v>18</v>
      </c>
      <c r="T30" s="219" t="s">
        <v>18</v>
      </c>
      <c r="U30" s="105"/>
      <c r="V30" s="114"/>
      <c r="W30" s="219"/>
      <c r="X30" s="219"/>
      <c r="Y30" s="219" t="s">
        <v>18</v>
      </c>
      <c r="Z30" s="382" t="s">
        <v>18</v>
      </c>
      <c r="AA30" s="221"/>
      <c r="AB30" s="114"/>
      <c r="AC30" s="651" t="s">
        <v>18</v>
      </c>
      <c r="AD30" s="219"/>
      <c r="AE30" s="221" t="s">
        <v>18</v>
      </c>
      <c r="AF30" s="144">
        <f t="shared" si="1"/>
        <v>0</v>
      </c>
      <c r="AG30" s="479"/>
    </row>
    <row r="31" spans="1:101" ht="28.9" thickBot="1">
      <c r="A31" s="146" t="s">
        <v>36</v>
      </c>
      <c r="B31" s="223">
        <v>15</v>
      </c>
      <c r="C31" s="224">
        <v>0.5</v>
      </c>
      <c r="D31" s="224"/>
      <c r="E31" s="224"/>
      <c r="F31" s="224"/>
      <c r="G31" s="103">
        <v>15</v>
      </c>
      <c r="H31" s="103">
        <v>15</v>
      </c>
      <c r="I31" s="224">
        <v>0.5</v>
      </c>
      <c r="J31" s="224"/>
      <c r="K31" s="224"/>
      <c r="L31" s="372">
        <v>4</v>
      </c>
      <c r="M31" s="224">
        <v>15</v>
      </c>
      <c r="N31" s="103">
        <v>15</v>
      </c>
      <c r="O31" s="103">
        <v>0.5</v>
      </c>
      <c r="P31" s="224"/>
      <c r="Q31" s="224"/>
      <c r="R31" s="224"/>
      <c r="S31" s="224">
        <v>15</v>
      </c>
      <c r="T31" s="224" t="s">
        <v>18</v>
      </c>
      <c r="U31" s="103">
        <v>0.5</v>
      </c>
      <c r="V31" s="103"/>
      <c r="W31" s="224"/>
      <c r="X31" s="224"/>
      <c r="Y31" s="224">
        <v>15</v>
      </c>
      <c r="Z31" s="372">
        <v>15</v>
      </c>
      <c r="AA31" s="224">
        <v>0.5</v>
      </c>
      <c r="AB31" s="103"/>
      <c r="AC31" s="652">
        <v>15</v>
      </c>
      <c r="AD31" s="224"/>
      <c r="AE31" s="225">
        <v>15</v>
      </c>
      <c r="AF31" s="183">
        <f t="shared" si="1"/>
        <v>156.5</v>
      </c>
      <c r="AG31" s="480">
        <f>SUM(AF31-AF67)</f>
        <v>-3.5</v>
      </c>
    </row>
    <row r="32" spans="1:101" ht="30" customHeight="1" thickBot="1">
      <c r="A32" s="187" t="s">
        <v>34</v>
      </c>
      <c r="B32" s="226">
        <v>1</v>
      </c>
      <c r="C32" s="227"/>
      <c r="D32" s="227"/>
      <c r="E32" s="228"/>
      <c r="F32" s="227"/>
      <c r="G32" s="133">
        <v>1</v>
      </c>
      <c r="H32" s="133">
        <v>1</v>
      </c>
      <c r="I32" s="227"/>
      <c r="J32" s="227"/>
      <c r="K32" s="229"/>
      <c r="L32" s="373"/>
      <c r="M32" s="229">
        <v>1</v>
      </c>
      <c r="N32" s="133">
        <v>1</v>
      </c>
      <c r="O32" s="134"/>
      <c r="P32" s="227"/>
      <c r="Q32" s="229"/>
      <c r="R32" s="227"/>
      <c r="S32" s="227">
        <v>1</v>
      </c>
      <c r="T32" s="229">
        <v>1</v>
      </c>
      <c r="U32" s="133"/>
      <c r="V32" s="134"/>
      <c r="W32" s="227"/>
      <c r="X32" s="230"/>
      <c r="Y32" s="227">
        <v>1</v>
      </c>
      <c r="Z32" s="395">
        <v>1</v>
      </c>
      <c r="AA32" s="230"/>
      <c r="AB32" s="133"/>
      <c r="AC32" s="653">
        <v>1</v>
      </c>
      <c r="AD32" s="227"/>
      <c r="AE32" s="605">
        <v>1</v>
      </c>
      <c r="AF32" s="184">
        <f t="shared" si="1"/>
        <v>11</v>
      </c>
      <c r="AG32" s="481"/>
      <c r="AH32" s="2"/>
    </row>
    <row r="33" spans="1:59" ht="31.9" customHeight="1" thickBot="1">
      <c r="A33" s="173" t="s">
        <v>37</v>
      </c>
      <c r="B33" s="255"/>
      <c r="C33" s="246"/>
      <c r="D33" s="246"/>
      <c r="E33" s="246"/>
      <c r="F33" s="246"/>
      <c r="G33" s="108"/>
      <c r="H33" s="108"/>
      <c r="I33" s="246"/>
      <c r="J33" s="246"/>
      <c r="K33" s="246"/>
      <c r="L33" s="248"/>
      <c r="M33" s="247"/>
      <c r="N33" s="108"/>
      <c r="O33" s="108"/>
      <c r="P33" s="246"/>
      <c r="Q33" s="252"/>
      <c r="R33" s="246"/>
      <c r="S33" s="246"/>
      <c r="T33" s="252"/>
      <c r="U33" s="108"/>
      <c r="V33" s="109"/>
      <c r="W33" s="246"/>
      <c r="X33" s="252"/>
      <c r="Y33" s="246"/>
      <c r="Z33" s="246"/>
      <c r="AA33" s="252"/>
      <c r="AB33" s="108"/>
      <c r="AC33" s="113"/>
      <c r="AD33" s="246"/>
      <c r="AE33" s="252"/>
      <c r="AF33" s="144">
        <f t="shared" si="1"/>
        <v>0</v>
      </c>
      <c r="AG33" s="477"/>
      <c r="AH33" s="2"/>
    </row>
    <row r="34" spans="1:59" ht="34.15" customHeight="1" thickBot="1">
      <c r="A34" s="146" t="s">
        <v>38</v>
      </c>
      <c r="B34" s="255"/>
      <c r="C34" s="246"/>
      <c r="D34" s="246"/>
      <c r="E34" s="246"/>
      <c r="F34" s="246"/>
      <c r="G34" s="108"/>
      <c r="H34" s="108"/>
      <c r="I34" s="246"/>
      <c r="J34" s="246"/>
      <c r="K34" s="246"/>
      <c r="L34" s="248"/>
      <c r="M34" s="247"/>
      <c r="N34" s="108"/>
      <c r="O34" s="108"/>
      <c r="P34" s="246"/>
      <c r="Q34" s="252"/>
      <c r="R34" s="246"/>
      <c r="S34" s="246"/>
      <c r="T34" s="252"/>
      <c r="U34" s="108"/>
      <c r="V34" s="109"/>
      <c r="W34" s="246"/>
      <c r="X34" s="252"/>
      <c r="Y34" s="246"/>
      <c r="Z34" s="246"/>
      <c r="AA34" s="252"/>
      <c r="AB34" s="108"/>
      <c r="AC34" s="113"/>
      <c r="AD34" s="246"/>
      <c r="AE34" s="252"/>
      <c r="AF34" s="183">
        <f t="shared" si="1"/>
        <v>0</v>
      </c>
      <c r="AG34" s="484"/>
      <c r="AH34" s="2"/>
    </row>
    <row r="35" spans="1:59" ht="31.9" customHeight="1" thickBot="1">
      <c r="A35" s="187" t="s">
        <v>39</v>
      </c>
      <c r="B35" s="226"/>
      <c r="C35" s="227"/>
      <c r="D35" s="227"/>
      <c r="E35" s="227"/>
      <c r="F35" s="227"/>
      <c r="G35" s="133"/>
      <c r="H35" s="133"/>
      <c r="I35" s="227"/>
      <c r="J35" s="227"/>
      <c r="K35" s="227"/>
      <c r="L35" s="228"/>
      <c r="M35" s="230"/>
      <c r="N35" s="133"/>
      <c r="O35" s="133"/>
      <c r="P35" s="227"/>
      <c r="Q35" s="229"/>
      <c r="R35" s="227"/>
      <c r="S35" s="227"/>
      <c r="T35" s="229"/>
      <c r="U35" s="133"/>
      <c r="V35" s="136"/>
      <c r="W35" s="227"/>
      <c r="X35" s="229"/>
      <c r="Y35" s="227"/>
      <c r="Z35" s="227"/>
      <c r="AA35" s="229"/>
      <c r="AB35" s="133"/>
      <c r="AC35" s="134"/>
      <c r="AD35" s="227"/>
      <c r="AE35" s="229"/>
      <c r="AF35" s="184">
        <f t="shared" si="1"/>
        <v>0</v>
      </c>
      <c r="AG35" s="478"/>
      <c r="AH35" s="2"/>
    </row>
    <row r="36" spans="1:59" ht="28.9" thickBot="1">
      <c r="A36" s="465"/>
      <c r="B36" s="255"/>
      <c r="C36" s="246"/>
      <c r="D36" s="246"/>
      <c r="E36" s="246"/>
      <c r="F36" s="246"/>
      <c r="G36" s="108"/>
      <c r="H36" s="108"/>
      <c r="I36" s="246"/>
      <c r="J36" s="246"/>
      <c r="K36" s="246"/>
      <c r="L36" s="248"/>
      <c r="M36" s="247"/>
      <c r="N36" s="108"/>
      <c r="O36" s="108"/>
      <c r="P36" s="246"/>
      <c r="Q36" s="252"/>
      <c r="R36" s="246"/>
      <c r="S36" s="246"/>
      <c r="T36" s="252"/>
      <c r="U36" s="108"/>
      <c r="V36" s="109"/>
      <c r="W36" s="246"/>
      <c r="X36" s="252"/>
      <c r="Y36" s="246"/>
      <c r="Z36" s="246"/>
      <c r="AA36" s="252"/>
      <c r="AB36" s="108"/>
      <c r="AC36" s="113"/>
      <c r="AD36" s="246"/>
      <c r="AE36" s="252"/>
      <c r="AF36" s="144">
        <f>SUM(B36:AE36)</f>
        <v>0</v>
      </c>
      <c r="AG36" s="477"/>
    </row>
    <row r="37" spans="1:59" ht="39" thickBot="1">
      <c r="A37" s="146"/>
      <c r="B37" s="255"/>
      <c r="C37" s="246"/>
      <c r="D37" s="246"/>
      <c r="E37" s="246"/>
      <c r="F37" s="246"/>
      <c r="G37" s="108"/>
      <c r="H37" s="108"/>
      <c r="I37" s="246"/>
      <c r="J37" s="246"/>
      <c r="K37" s="246"/>
      <c r="L37" s="248"/>
      <c r="M37" s="247"/>
      <c r="N37" s="108"/>
      <c r="O37" s="108"/>
      <c r="P37" s="246"/>
      <c r="Q37" s="252"/>
      <c r="R37" s="246"/>
      <c r="S37" s="246"/>
      <c r="T37" s="252"/>
      <c r="U37" s="108"/>
      <c r="V37" s="109"/>
      <c r="W37" s="246"/>
      <c r="X37" s="252"/>
      <c r="Y37" s="246"/>
      <c r="Z37" s="246"/>
      <c r="AA37" s="252"/>
      <c r="AB37" s="108"/>
      <c r="AC37" s="113"/>
      <c r="AD37" s="246"/>
      <c r="AE37" s="252"/>
      <c r="AF37" s="183">
        <f t="shared" ref="AF37" si="2">SUM(B37:AE37)</f>
        <v>0</v>
      </c>
      <c r="AG37" s="484"/>
      <c r="AH37" s="2"/>
    </row>
    <row r="38" spans="1:59" ht="34.15" customHeight="1" thickBot="1">
      <c r="A38" s="188"/>
      <c r="B38" s="259"/>
      <c r="C38" s="232"/>
      <c r="D38" s="232"/>
      <c r="E38" s="232"/>
      <c r="F38" s="232"/>
      <c r="G38" s="137"/>
      <c r="H38" s="137"/>
      <c r="I38" s="232"/>
      <c r="J38" s="232"/>
      <c r="K38" s="232"/>
      <c r="L38" s="260"/>
      <c r="M38" s="231"/>
      <c r="N38" s="137"/>
      <c r="O38" s="137"/>
      <c r="P38" s="232"/>
      <c r="Q38" s="233"/>
      <c r="R38" s="232"/>
      <c r="S38" s="232"/>
      <c r="T38" s="233"/>
      <c r="U38" s="137"/>
      <c r="V38" s="138"/>
      <c r="W38" s="232"/>
      <c r="X38" s="233"/>
      <c r="Y38" s="232"/>
      <c r="Z38" s="232"/>
      <c r="AA38" s="233"/>
      <c r="AB38" s="137"/>
      <c r="AC38" s="139"/>
      <c r="AD38" s="232"/>
      <c r="AE38" s="233"/>
      <c r="AF38" s="184">
        <f>SUM(B38:AE38)</f>
        <v>0</v>
      </c>
      <c r="AG38" s="477"/>
    </row>
    <row r="39" spans="1:59" ht="28.9" thickBot="1">
      <c r="A39" s="173"/>
      <c r="B39" s="266"/>
      <c r="C39" s="222"/>
      <c r="D39" s="222"/>
      <c r="E39" s="222"/>
      <c r="F39" s="222"/>
      <c r="G39" s="105"/>
      <c r="H39" s="105"/>
      <c r="I39" s="222"/>
      <c r="J39" s="222"/>
      <c r="K39" s="222"/>
      <c r="L39" s="253"/>
      <c r="M39" s="256"/>
      <c r="N39" s="105"/>
      <c r="O39" s="105"/>
      <c r="P39" s="222"/>
      <c r="Q39" s="254"/>
      <c r="R39" s="222"/>
      <c r="S39" s="222"/>
      <c r="T39" s="254"/>
      <c r="U39" s="105"/>
      <c r="V39" s="106"/>
      <c r="W39" s="222"/>
      <c r="X39" s="254"/>
      <c r="Y39" s="222"/>
      <c r="Z39" s="222"/>
      <c r="AA39" s="254"/>
      <c r="AB39" s="105"/>
      <c r="AC39" s="112"/>
      <c r="AD39" s="222"/>
      <c r="AE39" s="254"/>
      <c r="AF39" s="144">
        <f>SUM(B39:AE39)</f>
        <v>0</v>
      </c>
      <c r="AG39" s="545"/>
    </row>
    <row r="40" spans="1:59" ht="28.9" thickBot="1">
      <c r="A40" s="146"/>
      <c r="B40" s="255"/>
      <c r="C40" s="246"/>
      <c r="D40" s="246"/>
      <c r="E40" s="246"/>
      <c r="F40" s="246"/>
      <c r="G40" s="108"/>
      <c r="H40" s="108"/>
      <c r="I40" s="246"/>
      <c r="J40" s="246"/>
      <c r="K40" s="246"/>
      <c r="L40" s="248"/>
      <c r="M40" s="247"/>
      <c r="N40" s="108"/>
      <c r="O40" s="108"/>
      <c r="P40" s="246"/>
      <c r="Q40" s="252"/>
      <c r="R40" s="246"/>
      <c r="S40" s="246"/>
      <c r="T40" s="252"/>
      <c r="U40" s="108"/>
      <c r="V40" s="108"/>
      <c r="W40" s="246"/>
      <c r="X40" s="252"/>
      <c r="Y40" s="246"/>
      <c r="Z40" s="246"/>
      <c r="AA40" s="246"/>
      <c r="AB40" s="108"/>
      <c r="AC40" s="113"/>
      <c r="AD40" s="246"/>
      <c r="AE40" s="252"/>
      <c r="AF40" s="183">
        <f t="shared" ref="AF40" si="3">SUM(B40:AE40)</f>
        <v>0</v>
      </c>
      <c r="AG40" s="546"/>
    </row>
    <row r="41" spans="1:59" ht="28.9" thickBot="1">
      <c r="A41" s="190"/>
      <c r="B41" s="226"/>
      <c r="C41" s="227"/>
      <c r="D41" s="227"/>
      <c r="E41" s="227"/>
      <c r="F41" s="227"/>
      <c r="G41" s="133"/>
      <c r="H41" s="133"/>
      <c r="I41" s="227"/>
      <c r="J41" s="227"/>
      <c r="K41" s="227"/>
      <c r="L41" s="228"/>
      <c r="M41" s="230"/>
      <c r="N41" s="133"/>
      <c r="O41" s="133"/>
      <c r="P41" s="227"/>
      <c r="Q41" s="229"/>
      <c r="R41" s="227"/>
      <c r="S41" s="227"/>
      <c r="T41" s="229"/>
      <c r="U41" s="133"/>
      <c r="V41" s="136"/>
      <c r="W41" s="227"/>
      <c r="X41" s="229"/>
      <c r="Y41" s="227"/>
      <c r="Z41" s="227"/>
      <c r="AA41" s="229"/>
      <c r="AB41" s="133"/>
      <c r="AC41" s="134"/>
      <c r="AD41" s="227"/>
      <c r="AE41" s="229"/>
      <c r="AF41" s="184">
        <f>SUM(B41:AE41)</f>
        <v>0</v>
      </c>
      <c r="AG41" s="547"/>
    </row>
    <row r="42" spans="1:59" ht="28.9" thickBot="1">
      <c r="A42" s="146"/>
      <c r="B42" s="255"/>
      <c r="C42" s="246"/>
      <c r="D42" s="246"/>
      <c r="E42" s="246"/>
      <c r="F42" s="246"/>
      <c r="G42" s="108"/>
      <c r="H42" s="108"/>
      <c r="I42" s="246"/>
      <c r="J42" s="246"/>
      <c r="K42" s="246"/>
      <c r="L42" s="248"/>
      <c r="M42" s="247"/>
      <c r="N42" s="108"/>
      <c r="O42" s="108"/>
      <c r="P42" s="246"/>
      <c r="Q42" s="252"/>
      <c r="R42" s="246"/>
      <c r="S42" s="246"/>
      <c r="T42" s="252"/>
      <c r="U42" s="108"/>
      <c r="V42" s="109"/>
      <c r="W42" s="246"/>
      <c r="X42" s="252"/>
      <c r="Y42" s="246"/>
      <c r="Z42" s="246"/>
      <c r="AA42" s="252"/>
      <c r="AB42" s="108"/>
      <c r="AC42" s="113"/>
      <c r="AD42" s="246"/>
      <c r="AE42" s="252"/>
      <c r="AF42" s="144">
        <f>SUM(B42:AE42)</f>
        <v>0</v>
      </c>
      <c r="AG42" s="547"/>
    </row>
    <row r="43" spans="1:59" ht="29.45" thickBot="1">
      <c r="A43" s="146"/>
      <c r="B43" s="255"/>
      <c r="C43" s="246"/>
      <c r="D43" s="246"/>
      <c r="E43" s="246"/>
      <c r="F43" s="246"/>
      <c r="G43" s="108"/>
      <c r="H43" s="108"/>
      <c r="I43" s="246"/>
      <c r="J43" s="246"/>
      <c r="K43" s="246"/>
      <c r="L43" s="248"/>
      <c r="M43" s="247"/>
      <c r="N43" s="108"/>
      <c r="O43" s="108"/>
      <c r="P43" s="246"/>
      <c r="Q43" s="252"/>
      <c r="R43" s="246"/>
      <c r="S43" s="246"/>
      <c r="T43" s="252"/>
      <c r="U43" s="108"/>
      <c r="V43" s="109"/>
      <c r="W43" s="246"/>
      <c r="X43" s="252"/>
      <c r="Y43" s="246"/>
      <c r="Z43" s="246"/>
      <c r="AA43" s="252"/>
      <c r="AB43" s="108"/>
      <c r="AC43" s="113"/>
      <c r="AD43" s="246"/>
      <c r="AE43" s="252"/>
      <c r="AF43" s="183">
        <f t="shared" ref="AF43" si="4">SUM(B43:AE43)</f>
        <v>0</v>
      </c>
      <c r="AG43" s="546"/>
      <c r="AX43" s="7"/>
      <c r="AY43" s="7"/>
      <c r="AZ43" s="7"/>
      <c r="BA43" s="7"/>
      <c r="BB43" s="151"/>
      <c r="BC43" s="7"/>
      <c r="BD43" s="7"/>
      <c r="BE43" s="7"/>
      <c r="BF43" s="36"/>
      <c r="BG43" s="6"/>
    </row>
    <row r="44" spans="1:59" ht="28.9" customHeight="1" thickBot="1">
      <c r="A44" s="189"/>
      <c r="B44" s="259"/>
      <c r="C44" s="232"/>
      <c r="D44" s="232"/>
      <c r="E44" s="232"/>
      <c r="F44" s="232"/>
      <c r="G44" s="137"/>
      <c r="H44" s="137"/>
      <c r="I44" s="232"/>
      <c r="J44" s="232"/>
      <c r="K44" s="232"/>
      <c r="L44" s="260"/>
      <c r="M44" s="231"/>
      <c r="N44" s="137"/>
      <c r="O44" s="137"/>
      <c r="P44" s="232"/>
      <c r="Q44" s="233"/>
      <c r="R44" s="232"/>
      <c r="S44" s="232"/>
      <c r="T44" s="233"/>
      <c r="U44" s="137"/>
      <c r="V44" s="138"/>
      <c r="W44" s="232"/>
      <c r="X44" s="233"/>
      <c r="Y44" s="232"/>
      <c r="Z44" s="232"/>
      <c r="AA44" s="233"/>
      <c r="AB44" s="137"/>
      <c r="AC44" s="139"/>
      <c r="AD44" s="232"/>
      <c r="AE44" s="233"/>
      <c r="AF44" s="184">
        <f>SUM(B44:AE44)</f>
        <v>0</v>
      </c>
      <c r="AG44" s="547"/>
      <c r="AX44" s="151"/>
      <c r="AY44" s="151"/>
      <c r="AZ44" s="151"/>
      <c r="BA44" s="151"/>
      <c r="BB44" s="151"/>
      <c r="BC44" s="151"/>
      <c r="BD44" s="151"/>
      <c r="BE44" s="151"/>
      <c r="BF44" s="153"/>
      <c r="BG44" s="131"/>
    </row>
    <row r="45" spans="1:59" ht="29.45" thickBot="1">
      <c r="A45" s="173"/>
      <c r="B45" s="266"/>
      <c r="C45" s="222"/>
      <c r="D45" s="222"/>
      <c r="E45" s="222"/>
      <c r="F45" s="222"/>
      <c r="G45" s="105"/>
      <c r="H45" s="105"/>
      <c r="I45" s="222"/>
      <c r="J45" s="222"/>
      <c r="K45" s="222"/>
      <c r="L45" s="253"/>
      <c r="M45" s="256"/>
      <c r="N45" s="105"/>
      <c r="O45" s="105"/>
      <c r="P45" s="222"/>
      <c r="Q45" s="254"/>
      <c r="R45" s="222"/>
      <c r="S45" s="222"/>
      <c r="T45" s="254"/>
      <c r="U45" s="105"/>
      <c r="V45" s="106"/>
      <c r="W45" s="222"/>
      <c r="X45" s="254"/>
      <c r="Y45" s="222"/>
      <c r="Z45" s="222"/>
      <c r="AA45" s="254"/>
      <c r="AB45" s="105"/>
      <c r="AC45" s="112"/>
      <c r="AD45" s="222"/>
      <c r="AE45" s="254"/>
      <c r="AF45" s="144">
        <f>SUM(B45:AE45)</f>
        <v>0</v>
      </c>
      <c r="AG45" s="547"/>
      <c r="AX45" s="154"/>
      <c r="AY45" s="151"/>
      <c r="AZ45" s="151"/>
      <c r="BA45" s="151"/>
      <c r="BB45" s="151"/>
      <c r="BC45" s="151"/>
      <c r="BD45" s="151"/>
      <c r="BE45" s="151"/>
      <c r="BF45" s="153"/>
      <c r="BG45" s="131"/>
    </row>
    <row r="46" spans="1:59" ht="29.45" thickBot="1">
      <c r="A46" s="146"/>
      <c r="B46" s="255"/>
      <c r="C46" s="246"/>
      <c r="D46" s="246"/>
      <c r="E46" s="246"/>
      <c r="F46" s="246"/>
      <c r="G46" s="108"/>
      <c r="H46" s="108"/>
      <c r="I46" s="246"/>
      <c r="J46" s="246"/>
      <c r="K46" s="246"/>
      <c r="L46" s="248"/>
      <c r="M46" s="247"/>
      <c r="N46" s="108"/>
      <c r="O46" s="108"/>
      <c r="P46" s="246"/>
      <c r="Q46" s="252"/>
      <c r="R46" s="246"/>
      <c r="S46" s="246"/>
      <c r="T46" s="252"/>
      <c r="U46" s="108"/>
      <c r="V46" s="108"/>
      <c r="W46" s="246"/>
      <c r="X46" s="252"/>
      <c r="Y46" s="246"/>
      <c r="Z46" s="246"/>
      <c r="AA46" s="246"/>
      <c r="AB46" s="108"/>
      <c r="AC46" s="113"/>
      <c r="AD46" s="246"/>
      <c r="AE46" s="252"/>
      <c r="AF46" s="183">
        <f t="shared" ref="AF46" si="5">SUM(B46:AE46)</f>
        <v>0</v>
      </c>
      <c r="AG46" s="546"/>
      <c r="AX46" s="153"/>
      <c r="AY46" s="131"/>
      <c r="AZ46" s="153"/>
      <c r="BA46" s="131"/>
      <c r="BB46" s="131"/>
      <c r="BC46" s="131"/>
      <c r="BD46" s="131"/>
      <c r="BE46" s="131"/>
      <c r="BF46" s="131"/>
      <c r="BG46" s="153"/>
    </row>
    <row r="47" spans="1:59" ht="29.45" thickBot="1">
      <c r="A47" s="190"/>
      <c r="B47" s="226"/>
      <c r="C47" s="227"/>
      <c r="D47" s="227"/>
      <c r="E47" s="227"/>
      <c r="F47" s="227"/>
      <c r="G47" s="133"/>
      <c r="H47" s="133"/>
      <c r="I47" s="227"/>
      <c r="J47" s="227"/>
      <c r="K47" s="227"/>
      <c r="L47" s="228"/>
      <c r="M47" s="230"/>
      <c r="N47" s="133"/>
      <c r="O47" s="133"/>
      <c r="P47" s="227"/>
      <c r="Q47" s="229"/>
      <c r="R47" s="227"/>
      <c r="S47" s="227"/>
      <c r="T47" s="229"/>
      <c r="U47" s="133"/>
      <c r="V47" s="136"/>
      <c r="W47" s="227"/>
      <c r="X47" s="229"/>
      <c r="Y47" s="227"/>
      <c r="Z47" s="227"/>
      <c r="AA47" s="229"/>
      <c r="AB47" s="133"/>
      <c r="AC47" s="134"/>
      <c r="AD47" s="227"/>
      <c r="AE47" s="229"/>
      <c r="AF47" s="184">
        <f>SUM(B47:AE47)</f>
        <v>0</v>
      </c>
      <c r="AG47" s="547"/>
      <c r="AX47" s="153"/>
      <c r="AY47" s="131"/>
      <c r="AZ47" s="153"/>
      <c r="BA47" s="131"/>
      <c r="BB47" s="131"/>
      <c r="BC47" s="131"/>
      <c r="BD47" s="131"/>
      <c r="BE47" s="131"/>
      <c r="BF47" s="131"/>
      <c r="BG47" s="153"/>
    </row>
    <row r="48" spans="1:59" ht="29.45" hidden="1" thickBot="1">
      <c r="A48" s="146"/>
      <c r="B48" s="255"/>
      <c r="C48" s="246"/>
      <c r="D48" s="246"/>
      <c r="E48" s="246"/>
      <c r="F48" s="246"/>
      <c r="G48" s="108"/>
      <c r="H48" s="108"/>
      <c r="I48" s="246"/>
      <c r="J48" s="246"/>
      <c r="K48" s="246"/>
      <c r="L48" s="248"/>
      <c r="M48" s="247"/>
      <c r="N48" s="108"/>
      <c r="O48" s="108"/>
      <c r="P48" s="246"/>
      <c r="Q48" s="252"/>
      <c r="R48" s="246"/>
      <c r="S48" s="246"/>
      <c r="T48" s="252"/>
      <c r="U48" s="108"/>
      <c r="V48" s="109"/>
      <c r="W48" s="246"/>
      <c r="X48" s="252"/>
      <c r="Y48" s="246"/>
      <c r="Z48" s="246"/>
      <c r="AA48" s="252"/>
      <c r="AB48" s="108"/>
      <c r="AC48" s="113"/>
      <c r="AD48" s="246"/>
      <c r="AE48" s="252"/>
      <c r="AF48" s="144">
        <f>SUM(B48:AE48)</f>
        <v>0</v>
      </c>
      <c r="AX48" s="153"/>
      <c r="AY48" s="131"/>
      <c r="AZ48" s="153"/>
      <c r="BA48" s="131"/>
      <c r="BB48" s="131"/>
      <c r="BC48" s="131"/>
      <c r="BD48" s="131"/>
      <c r="BE48" s="131"/>
      <c r="BF48" s="153"/>
      <c r="BG48" s="131"/>
    </row>
    <row r="49" spans="1:59" ht="29.45" hidden="1" thickBot="1">
      <c r="A49" s="146"/>
      <c r="B49" s="255"/>
      <c r="C49" s="246"/>
      <c r="D49" s="246"/>
      <c r="E49" s="246"/>
      <c r="F49" s="246"/>
      <c r="G49" s="108"/>
      <c r="H49" s="108"/>
      <c r="I49" s="246"/>
      <c r="J49" s="246"/>
      <c r="K49" s="246"/>
      <c r="L49" s="248"/>
      <c r="M49" s="247"/>
      <c r="N49" s="108"/>
      <c r="O49" s="108"/>
      <c r="P49" s="246"/>
      <c r="Q49" s="252"/>
      <c r="R49" s="246"/>
      <c r="S49" s="246"/>
      <c r="T49" s="252"/>
      <c r="U49" s="108"/>
      <c r="V49" s="109"/>
      <c r="W49" s="246"/>
      <c r="X49" s="252"/>
      <c r="Y49" s="246"/>
      <c r="Z49" s="246"/>
      <c r="AA49" s="252"/>
      <c r="AB49" s="108"/>
      <c r="AC49" s="113"/>
      <c r="AD49" s="246"/>
      <c r="AE49" s="252"/>
      <c r="AF49" s="183">
        <f t="shared" ref="AF49" si="6">SUM(B49:AE49)</f>
        <v>0</v>
      </c>
      <c r="AX49" s="153"/>
      <c r="AY49" s="131"/>
      <c r="AZ49" s="153"/>
      <c r="BA49" s="131"/>
      <c r="BB49" s="131"/>
      <c r="BC49" s="131"/>
      <c r="BD49" s="131"/>
      <c r="BE49" s="131"/>
      <c r="BF49" s="131"/>
      <c r="BG49" s="131"/>
    </row>
    <row r="50" spans="1:59" ht="29.45" hidden="1" thickBot="1">
      <c r="A50" s="189"/>
      <c r="B50" s="259"/>
      <c r="C50" s="232"/>
      <c r="D50" s="232"/>
      <c r="E50" s="232"/>
      <c r="F50" s="232"/>
      <c r="G50" s="137"/>
      <c r="H50" s="137"/>
      <c r="I50" s="232"/>
      <c r="J50" s="232"/>
      <c r="K50" s="232"/>
      <c r="L50" s="260"/>
      <c r="M50" s="231"/>
      <c r="N50" s="137"/>
      <c r="O50" s="137"/>
      <c r="P50" s="232"/>
      <c r="Q50" s="233"/>
      <c r="R50" s="232"/>
      <c r="S50" s="232"/>
      <c r="T50" s="233"/>
      <c r="U50" s="137"/>
      <c r="V50" s="138"/>
      <c r="W50" s="232"/>
      <c r="X50" s="233"/>
      <c r="Y50" s="232"/>
      <c r="Z50" s="232"/>
      <c r="AA50" s="233"/>
      <c r="AB50" s="137"/>
      <c r="AC50" s="139"/>
      <c r="AD50" s="232"/>
      <c r="AE50" s="233"/>
      <c r="AF50" s="184">
        <f>SUM(B50:AE50)</f>
        <v>0</v>
      </c>
      <c r="AX50" s="153"/>
      <c r="AY50" s="131"/>
      <c r="AZ50" s="153"/>
      <c r="BA50" s="131"/>
      <c r="BB50" s="131"/>
      <c r="BC50" s="131"/>
      <c r="BD50" s="131"/>
      <c r="BE50" s="131"/>
      <c r="BF50" s="131"/>
      <c r="BG50" s="131"/>
    </row>
    <row r="51" spans="1:59" ht="29.45" hidden="1" thickBot="1">
      <c r="A51" s="173"/>
      <c r="B51" s="266"/>
      <c r="C51" s="222"/>
      <c r="D51" s="222"/>
      <c r="E51" s="222"/>
      <c r="F51" s="222"/>
      <c r="G51" s="105"/>
      <c r="H51" s="105"/>
      <c r="I51" s="222"/>
      <c r="J51" s="222"/>
      <c r="K51" s="222"/>
      <c r="L51" s="253"/>
      <c r="M51" s="256"/>
      <c r="N51" s="105"/>
      <c r="O51" s="105"/>
      <c r="P51" s="222"/>
      <c r="Q51" s="254"/>
      <c r="R51" s="222"/>
      <c r="S51" s="222"/>
      <c r="T51" s="254"/>
      <c r="U51" s="105"/>
      <c r="V51" s="106"/>
      <c r="W51" s="222"/>
      <c r="X51" s="254"/>
      <c r="Y51" s="222"/>
      <c r="Z51" s="222"/>
      <c r="AA51" s="254"/>
      <c r="AB51" s="105"/>
      <c r="AC51" s="112"/>
      <c r="AD51" s="222"/>
      <c r="AE51" s="254"/>
      <c r="AF51" s="144">
        <f>SUM(B51:AE51)</f>
        <v>0</v>
      </c>
      <c r="AX51" s="153"/>
      <c r="AY51" s="131"/>
      <c r="AZ51" s="153"/>
      <c r="BA51" s="131"/>
      <c r="BB51" s="131"/>
      <c r="BC51" s="131"/>
      <c r="BD51" s="131"/>
      <c r="BE51" s="131"/>
      <c r="BF51" s="131"/>
      <c r="BG51" s="131"/>
    </row>
    <row r="52" spans="1:59" ht="29.45" hidden="1" thickBot="1">
      <c r="A52" s="146"/>
      <c r="B52" s="255"/>
      <c r="C52" s="246"/>
      <c r="D52" s="246"/>
      <c r="E52" s="246"/>
      <c r="F52" s="246"/>
      <c r="G52" s="108"/>
      <c r="H52" s="108"/>
      <c r="I52" s="246"/>
      <c r="J52" s="246"/>
      <c r="K52" s="246"/>
      <c r="L52" s="248"/>
      <c r="M52" s="247"/>
      <c r="N52" s="108"/>
      <c r="O52" s="108"/>
      <c r="P52" s="246"/>
      <c r="Q52" s="252"/>
      <c r="R52" s="246"/>
      <c r="S52" s="246"/>
      <c r="T52" s="252"/>
      <c r="U52" s="108"/>
      <c r="V52" s="108"/>
      <c r="W52" s="246"/>
      <c r="X52" s="252"/>
      <c r="Y52" s="246"/>
      <c r="Z52" s="246"/>
      <c r="AA52" s="246"/>
      <c r="AB52" s="108"/>
      <c r="AC52" s="113"/>
      <c r="AD52" s="246"/>
      <c r="AE52" s="252"/>
      <c r="AF52" s="183">
        <f t="shared" ref="AF52" si="7">SUM(B52:AE52)</f>
        <v>0</v>
      </c>
      <c r="AX52" s="101"/>
      <c r="AY52" s="101"/>
      <c r="AZ52" s="6"/>
      <c r="BA52" s="6"/>
      <c r="BB52" s="6"/>
      <c r="BC52" s="6"/>
      <c r="BD52" s="6"/>
      <c r="BE52" s="6"/>
      <c r="BF52" s="6"/>
    </row>
    <row r="53" spans="1:59" ht="29.45" hidden="1" thickBot="1">
      <c r="A53" s="190"/>
      <c r="B53" s="226"/>
      <c r="C53" s="227"/>
      <c r="D53" s="227"/>
      <c r="E53" s="227"/>
      <c r="F53" s="227"/>
      <c r="G53" s="133"/>
      <c r="H53" s="133"/>
      <c r="I53" s="227"/>
      <c r="J53" s="227"/>
      <c r="K53" s="227"/>
      <c r="L53" s="228"/>
      <c r="M53" s="230"/>
      <c r="N53" s="133"/>
      <c r="O53" s="133"/>
      <c r="P53" s="227"/>
      <c r="Q53" s="229"/>
      <c r="R53" s="227"/>
      <c r="S53" s="227"/>
      <c r="T53" s="229"/>
      <c r="U53" s="133"/>
      <c r="V53" s="136"/>
      <c r="W53" s="227"/>
      <c r="X53" s="229"/>
      <c r="Y53" s="227"/>
      <c r="Z53" s="227"/>
      <c r="AA53" s="229"/>
      <c r="AB53" s="133"/>
      <c r="AC53" s="134"/>
      <c r="AD53" s="227"/>
      <c r="AE53" s="229"/>
      <c r="AF53" s="184">
        <f>SUM(B53:AE53)</f>
        <v>0</v>
      </c>
      <c r="AX53" s="101"/>
      <c r="AY53" s="101"/>
      <c r="AZ53" s="6"/>
      <c r="BA53" s="6"/>
      <c r="BB53" s="6"/>
      <c r="BC53" s="6"/>
      <c r="BD53" s="6"/>
      <c r="BE53" s="6"/>
      <c r="BF53" s="6"/>
      <c r="BG53" s="6"/>
    </row>
    <row r="54" spans="1:59" ht="28.9" hidden="1" thickBot="1">
      <c r="A54" s="146"/>
      <c r="B54" s="255"/>
      <c r="C54" s="246"/>
      <c r="D54" s="246"/>
      <c r="E54" s="246"/>
      <c r="F54" s="246"/>
      <c r="G54" s="108"/>
      <c r="H54" s="108"/>
      <c r="I54" s="246"/>
      <c r="J54" s="246"/>
      <c r="K54" s="246"/>
      <c r="L54" s="248"/>
      <c r="M54" s="247"/>
      <c r="N54" s="108"/>
      <c r="O54" s="108"/>
      <c r="P54" s="246"/>
      <c r="Q54" s="252"/>
      <c r="R54" s="246"/>
      <c r="S54" s="246"/>
      <c r="T54" s="252"/>
      <c r="U54" s="108"/>
      <c r="V54" s="109"/>
      <c r="W54" s="246"/>
      <c r="X54" s="252"/>
      <c r="Y54" s="246"/>
      <c r="Z54" s="246"/>
      <c r="AA54" s="252"/>
      <c r="AB54" s="108"/>
      <c r="AC54" s="113"/>
      <c r="AD54" s="246"/>
      <c r="AE54" s="252"/>
      <c r="AF54" s="144">
        <f>SUM(B54:AE54)</f>
        <v>0</v>
      </c>
    </row>
    <row r="55" spans="1:59" ht="28.9" hidden="1" thickBot="1">
      <c r="A55" s="146"/>
      <c r="B55" s="255"/>
      <c r="C55" s="246"/>
      <c r="D55" s="246"/>
      <c r="E55" s="246"/>
      <c r="F55" s="246"/>
      <c r="G55" s="108"/>
      <c r="H55" s="108"/>
      <c r="I55" s="246"/>
      <c r="J55" s="246"/>
      <c r="K55" s="246"/>
      <c r="L55" s="248"/>
      <c r="M55" s="247"/>
      <c r="N55" s="108"/>
      <c r="O55" s="108"/>
      <c r="P55" s="246"/>
      <c r="Q55" s="252"/>
      <c r="R55" s="246"/>
      <c r="S55" s="246"/>
      <c r="T55" s="252"/>
      <c r="U55" s="108"/>
      <c r="V55" s="109"/>
      <c r="W55" s="246"/>
      <c r="X55" s="252"/>
      <c r="Y55" s="246"/>
      <c r="Z55" s="246"/>
      <c r="AA55" s="252"/>
      <c r="AB55" s="108"/>
      <c r="AC55" s="113"/>
      <c r="AD55" s="246"/>
      <c r="AE55" s="252"/>
      <c r="AF55" s="183">
        <f t="shared" ref="AF55" si="8">SUM(B55:AE55)</f>
        <v>0</v>
      </c>
    </row>
    <row r="56" spans="1:59" ht="28.9" hidden="1" thickBot="1">
      <c r="A56" s="189"/>
      <c r="B56" s="259"/>
      <c r="C56" s="232"/>
      <c r="D56" s="232"/>
      <c r="E56" s="232"/>
      <c r="F56" s="232"/>
      <c r="G56" s="137"/>
      <c r="H56" s="137"/>
      <c r="I56" s="232"/>
      <c r="J56" s="232"/>
      <c r="K56" s="232"/>
      <c r="L56" s="260"/>
      <c r="M56" s="231"/>
      <c r="N56" s="137"/>
      <c r="O56" s="137"/>
      <c r="P56" s="232"/>
      <c r="Q56" s="233"/>
      <c r="R56" s="232"/>
      <c r="S56" s="232"/>
      <c r="T56" s="233"/>
      <c r="U56" s="137"/>
      <c r="V56" s="138"/>
      <c r="W56" s="232"/>
      <c r="X56" s="233"/>
      <c r="Y56" s="232"/>
      <c r="Z56" s="232"/>
      <c r="AA56" s="233"/>
      <c r="AB56" s="137"/>
      <c r="AC56" s="139"/>
      <c r="AD56" s="232"/>
      <c r="AE56" s="233"/>
      <c r="AF56" s="184">
        <f>SUM(B56:AE56)</f>
        <v>0</v>
      </c>
    </row>
    <row r="57" spans="1:59" ht="28.9" hidden="1" thickBot="1">
      <c r="A57" s="173"/>
      <c r="B57" s="266"/>
      <c r="C57" s="222"/>
      <c r="D57" s="222"/>
      <c r="E57" s="222"/>
      <c r="F57" s="222"/>
      <c r="G57" s="105"/>
      <c r="H57" s="105"/>
      <c r="I57" s="222"/>
      <c r="J57" s="222"/>
      <c r="K57" s="222"/>
      <c r="L57" s="253"/>
      <c r="M57" s="256"/>
      <c r="N57" s="105"/>
      <c r="O57" s="105"/>
      <c r="P57" s="222"/>
      <c r="Q57" s="254"/>
      <c r="R57" s="222"/>
      <c r="S57" s="222"/>
      <c r="T57" s="254"/>
      <c r="U57" s="105"/>
      <c r="V57" s="106"/>
      <c r="W57" s="222"/>
      <c r="X57" s="254"/>
      <c r="Y57" s="222"/>
      <c r="Z57" s="222"/>
      <c r="AA57" s="254"/>
      <c r="AB57" s="105"/>
      <c r="AC57" s="112"/>
      <c r="AD57" s="222"/>
      <c r="AE57" s="254"/>
      <c r="AF57" s="144">
        <f>SUM(B57:AE57)</f>
        <v>0</v>
      </c>
    </row>
    <row r="58" spans="1:59" ht="28.9" hidden="1" thickBot="1">
      <c r="A58" s="146"/>
      <c r="B58" s="255"/>
      <c r="C58" s="246"/>
      <c r="D58" s="246"/>
      <c r="E58" s="246"/>
      <c r="F58" s="246"/>
      <c r="G58" s="108"/>
      <c r="H58" s="108"/>
      <c r="I58" s="246"/>
      <c r="J58" s="246"/>
      <c r="K58" s="246"/>
      <c r="L58" s="248"/>
      <c r="M58" s="247"/>
      <c r="N58" s="108"/>
      <c r="O58" s="108"/>
      <c r="P58" s="246"/>
      <c r="Q58" s="252"/>
      <c r="R58" s="246"/>
      <c r="S58" s="246"/>
      <c r="T58" s="252"/>
      <c r="U58" s="108"/>
      <c r="V58" s="108"/>
      <c r="W58" s="246"/>
      <c r="X58" s="252"/>
      <c r="Y58" s="246"/>
      <c r="Z58" s="246"/>
      <c r="AA58" s="246"/>
      <c r="AB58" s="108"/>
      <c r="AC58" s="113"/>
      <c r="AD58" s="246"/>
      <c r="AE58" s="252"/>
      <c r="AF58" s="183">
        <f t="shared" ref="AF58" si="9">SUM(B58:AE58)</f>
        <v>0</v>
      </c>
    </row>
    <row r="59" spans="1:59" ht="28.9" hidden="1" thickBot="1">
      <c r="A59" s="190"/>
      <c r="B59" s="226"/>
      <c r="C59" s="227"/>
      <c r="D59" s="227"/>
      <c r="E59" s="227"/>
      <c r="F59" s="227"/>
      <c r="G59" s="133"/>
      <c r="H59" s="133"/>
      <c r="I59" s="227"/>
      <c r="J59" s="227"/>
      <c r="K59" s="227"/>
      <c r="L59" s="228"/>
      <c r="M59" s="230"/>
      <c r="N59" s="133"/>
      <c r="O59" s="133"/>
      <c r="P59" s="227"/>
      <c r="Q59" s="229"/>
      <c r="R59" s="227"/>
      <c r="S59" s="227"/>
      <c r="T59" s="229"/>
      <c r="U59" s="133"/>
      <c r="V59" s="136"/>
      <c r="W59" s="227"/>
      <c r="X59" s="229"/>
      <c r="Y59" s="227"/>
      <c r="Z59" s="227"/>
      <c r="AA59" s="229"/>
      <c r="AB59" s="133"/>
      <c r="AC59" s="134"/>
      <c r="AD59" s="227"/>
      <c r="AE59" s="229"/>
      <c r="AF59" s="184">
        <f>SUM(B59:AE59)</f>
        <v>0</v>
      </c>
    </row>
    <row r="60" spans="1:59" ht="28.9" hidden="1" thickBot="1">
      <c r="A60" s="146"/>
      <c r="B60" s="255"/>
      <c r="C60" s="246"/>
      <c r="D60" s="246"/>
      <c r="E60" s="246"/>
      <c r="F60" s="246"/>
      <c r="G60" s="108"/>
      <c r="H60" s="108"/>
      <c r="I60" s="246"/>
      <c r="J60" s="246"/>
      <c r="K60" s="246"/>
      <c r="L60" s="248"/>
      <c r="M60" s="247"/>
      <c r="N60" s="108"/>
      <c r="O60" s="108"/>
      <c r="P60" s="246"/>
      <c r="Q60" s="252"/>
      <c r="R60" s="246"/>
      <c r="S60" s="246"/>
      <c r="T60" s="252"/>
      <c r="U60" s="108"/>
      <c r="V60" s="109"/>
      <c r="W60" s="246"/>
      <c r="X60" s="252"/>
      <c r="Y60" s="246"/>
      <c r="Z60" s="246"/>
      <c r="AA60" s="252"/>
      <c r="AB60" s="108"/>
      <c r="AC60" s="113"/>
      <c r="AD60" s="246"/>
      <c r="AE60" s="252"/>
      <c r="AF60" s="144">
        <f>SUM(B60:AE60)</f>
        <v>0</v>
      </c>
    </row>
    <row r="61" spans="1:59" ht="28.9" hidden="1" thickBot="1">
      <c r="A61" s="146"/>
      <c r="B61" s="255"/>
      <c r="C61" s="246"/>
      <c r="D61" s="246"/>
      <c r="E61" s="246"/>
      <c r="F61" s="246"/>
      <c r="G61" s="108"/>
      <c r="H61" s="108"/>
      <c r="I61" s="246"/>
      <c r="J61" s="246"/>
      <c r="K61" s="246"/>
      <c r="L61" s="248"/>
      <c r="M61" s="247"/>
      <c r="N61" s="108"/>
      <c r="O61" s="108"/>
      <c r="P61" s="246"/>
      <c r="Q61" s="252"/>
      <c r="R61" s="246"/>
      <c r="S61" s="246"/>
      <c r="T61" s="252"/>
      <c r="U61" s="108"/>
      <c r="V61" s="109"/>
      <c r="W61" s="246"/>
      <c r="X61" s="252"/>
      <c r="Y61" s="246"/>
      <c r="Z61" s="246"/>
      <c r="AA61" s="252"/>
      <c r="AB61" s="108"/>
      <c r="AC61" s="113"/>
      <c r="AD61" s="246"/>
      <c r="AE61" s="252"/>
      <c r="AF61" s="183">
        <f t="shared" ref="AF61:AF64" si="10">SUM(B61:AE61)</f>
        <v>0</v>
      </c>
    </row>
    <row r="62" spans="1:59" ht="28.9" hidden="1" thickBot="1">
      <c r="A62" s="189"/>
      <c r="B62" s="259"/>
      <c r="C62" s="232"/>
      <c r="D62" s="232"/>
      <c r="E62" s="232"/>
      <c r="F62" s="232"/>
      <c r="G62" s="137"/>
      <c r="H62" s="137"/>
      <c r="I62" s="232"/>
      <c r="J62" s="232"/>
      <c r="K62" s="232"/>
      <c r="L62" s="260"/>
      <c r="M62" s="231"/>
      <c r="N62" s="137"/>
      <c r="O62" s="137"/>
      <c r="P62" s="232"/>
      <c r="Q62" s="233"/>
      <c r="R62" s="232"/>
      <c r="S62" s="232"/>
      <c r="T62" s="233"/>
      <c r="U62" s="137"/>
      <c r="V62" s="138"/>
      <c r="W62" s="232"/>
      <c r="X62" s="233"/>
      <c r="Y62" s="232"/>
      <c r="Z62" s="232"/>
      <c r="AA62" s="233"/>
      <c r="AB62" s="137"/>
      <c r="AC62" s="139"/>
      <c r="AD62" s="232"/>
      <c r="AE62" s="233"/>
      <c r="AF62" s="184">
        <f>SUM(B62:AE62)</f>
        <v>0</v>
      </c>
    </row>
    <row r="63" spans="1:59" ht="28.9" hidden="1" thickBot="1">
      <c r="A63" s="173"/>
      <c r="B63" s="266"/>
      <c r="C63" s="222"/>
      <c r="D63" s="222"/>
      <c r="E63" s="222"/>
      <c r="F63" s="222"/>
      <c r="G63" s="105"/>
      <c r="H63" s="105"/>
      <c r="I63" s="222"/>
      <c r="J63" s="222"/>
      <c r="K63" s="222"/>
      <c r="L63" s="253"/>
      <c r="M63" s="256"/>
      <c r="N63" s="105"/>
      <c r="O63" s="105"/>
      <c r="P63" s="222"/>
      <c r="Q63" s="254"/>
      <c r="R63" s="222"/>
      <c r="S63" s="222"/>
      <c r="T63" s="254"/>
      <c r="U63" s="105"/>
      <c r="V63" s="106"/>
      <c r="W63" s="222"/>
      <c r="X63" s="254"/>
      <c r="Y63" s="222"/>
      <c r="Z63" s="222"/>
      <c r="AA63" s="254"/>
      <c r="AB63" s="105"/>
      <c r="AC63" s="112"/>
      <c r="AD63" s="222"/>
      <c r="AE63" s="254"/>
      <c r="AF63" s="144">
        <f>SUM(B63:AE63)</f>
        <v>0</v>
      </c>
    </row>
    <row r="64" spans="1:59" ht="28.9" hidden="1" thickBot="1">
      <c r="A64" s="146"/>
      <c r="B64" s="255"/>
      <c r="C64" s="246"/>
      <c r="D64" s="246"/>
      <c r="E64" s="246"/>
      <c r="F64" s="246"/>
      <c r="G64" s="108"/>
      <c r="H64" s="108"/>
      <c r="I64" s="246"/>
      <c r="J64" s="246"/>
      <c r="K64" s="246"/>
      <c r="L64" s="248"/>
      <c r="M64" s="247"/>
      <c r="N64" s="108"/>
      <c r="O64" s="108"/>
      <c r="P64" s="246"/>
      <c r="Q64" s="252"/>
      <c r="R64" s="246"/>
      <c r="S64" s="246"/>
      <c r="T64" s="252"/>
      <c r="U64" s="108"/>
      <c r="V64" s="108"/>
      <c r="W64" s="246"/>
      <c r="X64" s="252"/>
      <c r="Y64" s="246"/>
      <c r="Z64" s="246"/>
      <c r="AA64" s="246"/>
      <c r="AB64" s="108"/>
      <c r="AC64" s="113"/>
      <c r="AD64" s="246"/>
      <c r="AE64" s="252"/>
      <c r="AF64" s="183">
        <f t="shared" si="10"/>
        <v>0</v>
      </c>
    </row>
    <row r="65" spans="1:32" ht="28.9" hidden="1" thickBot="1">
      <c r="A65" s="190"/>
      <c r="B65" s="226"/>
      <c r="C65" s="227"/>
      <c r="D65" s="227"/>
      <c r="E65" s="227"/>
      <c r="F65" s="227"/>
      <c r="G65" s="133"/>
      <c r="H65" s="133"/>
      <c r="I65" s="227"/>
      <c r="J65" s="227"/>
      <c r="K65" s="227"/>
      <c r="L65" s="228"/>
      <c r="M65" s="230"/>
      <c r="N65" s="133"/>
      <c r="O65" s="133"/>
      <c r="P65" s="227"/>
      <c r="Q65" s="229"/>
      <c r="R65" s="227"/>
      <c r="S65" s="227"/>
      <c r="T65" s="229"/>
      <c r="U65" s="133"/>
      <c r="V65" s="136"/>
      <c r="W65" s="227"/>
      <c r="X65" s="229"/>
      <c r="Y65" s="227"/>
      <c r="Z65" s="227"/>
      <c r="AA65" s="229"/>
      <c r="AB65" s="133"/>
      <c r="AC65" s="134"/>
      <c r="AD65" s="227"/>
      <c r="AE65" s="229"/>
      <c r="AF65" s="184">
        <f>SUM(B65:AE65)</f>
        <v>0</v>
      </c>
    </row>
    <row r="66" spans="1:32" ht="34.15" thickBot="1">
      <c r="A66" s="678" t="s">
        <v>40</v>
      </c>
      <c r="B66" s="267"/>
      <c r="C66" s="268"/>
      <c r="D66" s="268"/>
      <c r="E66" s="268"/>
      <c r="F66" s="620"/>
      <c r="G66" s="620"/>
      <c r="H66" s="268"/>
      <c r="I66" s="270"/>
      <c r="J66" s="270"/>
      <c r="K66" s="268"/>
      <c r="L66" s="268"/>
      <c r="M66" s="268"/>
      <c r="N66" s="271"/>
      <c r="O66" s="271"/>
      <c r="P66" s="268"/>
      <c r="Q66" s="268"/>
      <c r="R66" s="268"/>
      <c r="S66" s="269"/>
      <c r="T66" s="268"/>
      <c r="U66" s="271"/>
      <c r="V66" s="269"/>
      <c r="W66" s="269"/>
      <c r="X66" s="268"/>
      <c r="Y66" s="269"/>
      <c r="Z66" s="268"/>
      <c r="AA66" s="269"/>
      <c r="AB66" s="269"/>
      <c r="AC66" s="269"/>
      <c r="AD66" s="268"/>
      <c r="AE66" s="272"/>
      <c r="AF66" s="147" t="s">
        <v>41</v>
      </c>
    </row>
    <row r="67" spans="1:32" ht="34.15" thickBot="1">
      <c r="A67" s="679"/>
      <c r="B67" s="273"/>
      <c r="C67" s="274"/>
      <c r="D67" s="274"/>
      <c r="E67" s="274"/>
      <c r="F67" s="275"/>
      <c r="G67" s="275"/>
      <c r="H67" s="274"/>
      <c r="I67" s="276"/>
      <c r="J67" s="276"/>
      <c r="K67" s="274"/>
      <c r="L67" s="274"/>
      <c r="M67" s="274"/>
      <c r="N67" s="277"/>
      <c r="O67" s="278"/>
      <c r="P67" s="274"/>
      <c r="Q67" s="274"/>
      <c r="R67" s="274"/>
      <c r="S67" s="275"/>
      <c r="T67" s="274"/>
      <c r="U67" s="275"/>
      <c r="V67" s="275"/>
      <c r="W67" s="275"/>
      <c r="X67" s="274"/>
      <c r="Y67" s="275"/>
      <c r="Z67" s="274"/>
      <c r="AA67" s="275"/>
      <c r="AB67" s="275"/>
      <c r="AC67" s="461"/>
      <c r="AD67" s="461" t="s">
        <v>18</v>
      </c>
      <c r="AE67" s="279"/>
      <c r="AF67" s="672">
        <v>160</v>
      </c>
    </row>
    <row r="68" spans="1:32" ht="28.9" thickTop="1">
      <c r="A68" s="125" t="s">
        <v>42</v>
      </c>
      <c r="B68" s="126"/>
      <c r="C68" s="126"/>
      <c r="D68" s="124"/>
      <c r="E68" s="124"/>
      <c r="F68" s="124"/>
      <c r="G68" s="124"/>
      <c r="H68" s="127"/>
      <c r="I68" s="7"/>
      <c r="J68" s="7"/>
      <c r="K68" s="20" t="s">
        <v>43</v>
      </c>
      <c r="L68" s="21"/>
      <c r="M68" s="21"/>
      <c r="N68" s="21"/>
      <c r="O68" s="21"/>
      <c r="P68" s="128"/>
      <c r="Q68" s="128"/>
      <c r="R68" s="128"/>
      <c r="S68" s="128" t="s">
        <v>44</v>
      </c>
      <c r="T68" s="23"/>
      <c r="U68" s="129"/>
      <c r="V68" s="7"/>
      <c r="W68" s="7"/>
      <c r="X68" s="25"/>
      <c r="Y68" s="26"/>
      <c r="Z68" s="26"/>
      <c r="AA68" s="26"/>
      <c r="AB68" s="90" t="s">
        <v>45</v>
      </c>
      <c r="AC68" s="26"/>
      <c r="AD68" s="26"/>
      <c r="AE68" s="26"/>
      <c r="AF68" s="15"/>
    </row>
    <row r="69" spans="1:32" ht="28.15">
      <c r="A69" s="16" t="s">
        <v>46</v>
      </c>
      <c r="B69" s="17"/>
      <c r="C69" s="17"/>
      <c r="D69" s="18"/>
      <c r="E69" s="18"/>
      <c r="F69" s="18"/>
      <c r="G69" s="18"/>
      <c r="H69" s="19"/>
      <c r="I69" s="7"/>
      <c r="J69" s="7"/>
      <c r="K69" s="20" t="s">
        <v>47</v>
      </c>
      <c r="L69" s="21"/>
      <c r="M69" s="21"/>
      <c r="N69" s="21"/>
      <c r="O69" s="21"/>
      <c r="P69" s="128"/>
      <c r="Q69" s="128"/>
      <c r="R69" s="128" t="s">
        <v>48</v>
      </c>
      <c r="S69" s="23"/>
      <c r="T69" s="23"/>
      <c r="U69" s="24"/>
      <c r="V69" s="7"/>
      <c r="W69" s="7"/>
      <c r="X69" s="89"/>
      <c r="Y69" s="90"/>
      <c r="Z69" s="90"/>
      <c r="AA69" s="90"/>
      <c r="AB69" s="90"/>
      <c r="AC69" s="90"/>
      <c r="AD69" s="90"/>
      <c r="AE69" s="90"/>
      <c r="AF69" s="95"/>
    </row>
    <row r="70" spans="1:32" ht="28.15">
      <c r="A70" s="85" t="s">
        <v>49</v>
      </c>
      <c r="B70" s="86"/>
      <c r="C70" s="86"/>
      <c r="D70" s="10"/>
      <c r="E70" s="10"/>
      <c r="F70" s="10"/>
      <c r="G70" s="10"/>
      <c r="H70" s="87"/>
      <c r="I70" s="7"/>
      <c r="J70" s="7"/>
      <c r="K70" s="20" t="s">
        <v>50</v>
      </c>
      <c r="L70" s="21"/>
      <c r="M70" s="21"/>
      <c r="N70" s="21"/>
      <c r="O70" s="21"/>
      <c r="P70" s="128"/>
      <c r="Q70" s="128"/>
      <c r="R70" s="128"/>
      <c r="S70" s="128"/>
      <c r="T70" s="128"/>
      <c r="U70" s="129"/>
      <c r="V70" s="7"/>
      <c r="W70" s="7"/>
      <c r="X70" s="93"/>
      <c r="Y70" s="90"/>
      <c r="Z70" s="90"/>
      <c r="AA70" s="90"/>
      <c r="AB70" s="90"/>
      <c r="AC70" s="90"/>
      <c r="AD70" s="90"/>
      <c r="AE70" s="90"/>
      <c r="AF70" s="95"/>
    </row>
    <row r="71" spans="1:32" ht="28.9">
      <c r="A71" s="32" t="s">
        <v>51</v>
      </c>
      <c r="B71" s="33"/>
      <c r="C71" s="33"/>
      <c r="D71" s="34"/>
      <c r="E71" s="34"/>
      <c r="F71" s="34"/>
      <c r="G71" s="34"/>
      <c r="H71" s="35"/>
      <c r="I71" s="36"/>
      <c r="J71" s="36"/>
      <c r="K71" s="20" t="s">
        <v>70</v>
      </c>
      <c r="L71" s="21"/>
      <c r="M71" s="21"/>
      <c r="N71" s="21"/>
      <c r="O71" s="21"/>
      <c r="P71" s="21"/>
      <c r="Q71" s="21"/>
      <c r="R71" s="21"/>
      <c r="S71" s="202"/>
      <c r="T71" s="21"/>
      <c r="U71" s="203"/>
      <c r="V71" s="40"/>
      <c r="W71" s="6"/>
      <c r="X71" s="88"/>
      <c r="Y71" s="94"/>
      <c r="Z71" s="91"/>
      <c r="AA71" s="94"/>
      <c r="AB71" s="94"/>
      <c r="AC71" s="94"/>
      <c r="AD71" s="94"/>
      <c r="AE71" s="94"/>
      <c r="AF71" s="92"/>
    </row>
    <row r="72" spans="1:32" ht="28.9">
      <c r="A72" s="42" t="s">
        <v>53</v>
      </c>
      <c r="B72" s="43"/>
      <c r="C72" s="43"/>
      <c r="D72" s="43"/>
      <c r="E72" s="43"/>
      <c r="F72" s="43"/>
      <c r="G72" s="43"/>
      <c r="H72" s="44"/>
      <c r="I72" s="36"/>
      <c r="J72" s="36"/>
      <c r="K72" s="20" t="s">
        <v>71</v>
      </c>
      <c r="L72" s="21"/>
      <c r="M72" s="21"/>
      <c r="N72" s="21"/>
      <c r="O72" s="21"/>
      <c r="P72" s="21"/>
      <c r="Q72" s="21"/>
      <c r="R72" s="21"/>
      <c r="S72" s="202"/>
      <c r="T72" s="21"/>
      <c r="U72" s="203"/>
      <c r="V72" s="40"/>
      <c r="W72" s="6"/>
      <c r="X72" s="88"/>
      <c r="Y72" s="94"/>
      <c r="Z72" s="91"/>
      <c r="AA72" s="94"/>
      <c r="AB72" s="94"/>
      <c r="AC72" s="94"/>
      <c r="AD72" s="94"/>
      <c r="AE72" s="94"/>
      <c r="AF72" s="92"/>
    </row>
    <row r="73" spans="1:32" ht="28.9">
      <c r="A73" s="47" t="s">
        <v>55</v>
      </c>
      <c r="B73" s="48"/>
      <c r="C73" s="48"/>
      <c r="D73" s="49"/>
      <c r="E73" s="49"/>
      <c r="F73" s="49"/>
      <c r="G73" s="49"/>
      <c r="H73" s="50"/>
      <c r="I73" s="36"/>
      <c r="J73" s="36"/>
      <c r="K73" s="20" t="s">
        <v>56</v>
      </c>
      <c r="L73" s="21"/>
      <c r="M73" s="21"/>
      <c r="N73" s="21"/>
      <c r="O73" s="21"/>
      <c r="P73" s="21"/>
      <c r="Q73" s="21"/>
      <c r="R73" s="21"/>
      <c r="S73" s="202"/>
      <c r="T73" s="21"/>
      <c r="U73" s="204"/>
      <c r="V73" s="40"/>
      <c r="W73" s="6"/>
      <c r="X73" s="88"/>
      <c r="Y73" s="94"/>
      <c r="Z73" s="91"/>
      <c r="AA73" s="94"/>
      <c r="AB73" s="94"/>
      <c r="AC73" s="94"/>
      <c r="AD73" s="94"/>
      <c r="AE73" s="94"/>
      <c r="AF73" s="95"/>
    </row>
    <row r="74" spans="1:32" ht="28.9">
      <c r="A74" s="52" t="s">
        <v>57</v>
      </c>
      <c r="B74" s="53"/>
      <c r="C74" s="53"/>
      <c r="D74" s="53"/>
      <c r="E74" s="53"/>
      <c r="F74" s="53"/>
      <c r="G74" s="53"/>
      <c r="H74" s="54"/>
      <c r="I74" s="36"/>
      <c r="J74" s="36"/>
      <c r="K74" s="20" t="s">
        <v>58</v>
      </c>
      <c r="L74" s="21"/>
      <c r="M74" s="21"/>
      <c r="N74" s="21"/>
      <c r="O74" s="21"/>
      <c r="P74" s="21"/>
      <c r="Q74" s="21" t="s">
        <v>59</v>
      </c>
      <c r="R74" s="21"/>
      <c r="S74" s="202"/>
      <c r="T74" s="21"/>
      <c r="U74" s="203"/>
      <c r="V74" s="40"/>
      <c r="W74" s="6"/>
      <c r="X74" s="88"/>
      <c r="Y74" s="94"/>
      <c r="Z74" s="91"/>
      <c r="AA74" s="94"/>
      <c r="AB74" s="94"/>
      <c r="AC74" s="94"/>
      <c r="AD74" s="94"/>
      <c r="AE74" s="94"/>
      <c r="AF74" s="92"/>
    </row>
    <row r="75" spans="1:32" ht="28.9">
      <c r="A75" s="56" t="s">
        <v>60</v>
      </c>
      <c r="B75" s="57"/>
      <c r="C75" s="57"/>
      <c r="D75" s="58"/>
      <c r="E75" s="58"/>
      <c r="F75" s="58"/>
      <c r="G75" s="58"/>
      <c r="H75" s="59"/>
      <c r="I75" s="6"/>
      <c r="J75" s="6"/>
      <c r="K75" s="20" t="s">
        <v>61</v>
      </c>
      <c r="L75" s="21"/>
      <c r="M75" s="21"/>
      <c r="N75" s="21"/>
      <c r="O75" s="21"/>
      <c r="P75" s="21"/>
      <c r="Q75" s="21"/>
      <c r="R75" s="21"/>
      <c r="S75" s="202"/>
      <c r="T75" s="21"/>
      <c r="U75" s="204"/>
      <c r="V75" s="6"/>
      <c r="W75" s="6"/>
      <c r="X75" s="88"/>
      <c r="Y75" s="94"/>
      <c r="Z75" s="91"/>
      <c r="AA75" s="94"/>
      <c r="AB75" s="94"/>
      <c r="AC75" s="94"/>
      <c r="AD75" s="94"/>
      <c r="AE75" s="94"/>
      <c r="AF75" s="92"/>
    </row>
    <row r="76" spans="1:32" ht="29.45" thickBot="1">
      <c r="A76" s="60" t="s">
        <v>62</v>
      </c>
      <c r="B76" s="61"/>
      <c r="C76" s="61"/>
      <c r="D76" s="61"/>
      <c r="E76" s="61"/>
      <c r="F76" s="61"/>
      <c r="G76" s="61"/>
      <c r="H76" s="62"/>
      <c r="I76" s="6"/>
      <c r="J76" s="6"/>
      <c r="K76" s="63" t="s">
        <v>63</v>
      </c>
      <c r="L76" s="64"/>
      <c r="M76" s="64"/>
      <c r="N76" s="64"/>
      <c r="O76" s="64"/>
      <c r="P76" s="64"/>
      <c r="Q76" s="64"/>
      <c r="R76" s="64"/>
      <c r="S76" s="205"/>
      <c r="T76" s="64"/>
      <c r="U76" s="206"/>
      <c r="V76" s="6"/>
      <c r="W76" s="6"/>
      <c r="X76" s="96"/>
      <c r="Y76" s="97"/>
      <c r="Z76" s="98"/>
      <c r="AA76" s="97"/>
      <c r="AB76" s="97"/>
      <c r="AC76" s="97"/>
      <c r="AD76" s="97"/>
      <c r="AE76" s="97"/>
      <c r="AF76" s="99"/>
    </row>
    <row r="77" spans="1:32" ht="28.9">
      <c r="A77" s="6"/>
      <c r="B77" s="6"/>
      <c r="C77" s="6"/>
      <c r="D77" s="6"/>
      <c r="E77" s="6"/>
      <c r="F77" s="6"/>
      <c r="G77" s="6"/>
      <c r="H77" s="6"/>
      <c r="I77" s="6"/>
      <c r="J77" s="72"/>
      <c r="K77" s="73"/>
      <c r="L77" s="74"/>
      <c r="M77" s="74"/>
      <c r="N77" s="74"/>
      <c r="O77" s="74"/>
      <c r="P77" s="74"/>
      <c r="Q77" s="74"/>
      <c r="R77" s="72"/>
      <c r="S77" s="72"/>
      <c r="T77" s="72"/>
      <c r="U77" s="72"/>
      <c r="V77" s="72"/>
      <c r="W77" s="72"/>
      <c r="X77" s="72"/>
      <c r="Y77" s="72"/>
      <c r="Z77" s="6"/>
      <c r="AA77" s="6"/>
      <c r="AB77" s="6"/>
      <c r="AC77" s="6"/>
      <c r="AD77" s="6"/>
      <c r="AE77" s="6"/>
      <c r="AF77" s="6"/>
    </row>
    <row r="78" spans="1:32" ht="28.9">
      <c r="A78" s="6" t="s">
        <v>64</v>
      </c>
      <c r="B78" s="6"/>
      <c r="C78" s="6"/>
      <c r="D78" s="6"/>
      <c r="E78" s="6"/>
      <c r="F78" s="6"/>
      <c r="G78" s="6"/>
      <c r="H78" s="6" t="s">
        <v>65</v>
      </c>
      <c r="I78" s="6"/>
      <c r="J78" s="72"/>
      <c r="K78" s="73"/>
      <c r="L78" s="74"/>
      <c r="M78" s="74"/>
      <c r="N78" s="74"/>
      <c r="O78" s="74"/>
      <c r="P78" s="74" t="s">
        <v>66</v>
      </c>
      <c r="Q78" s="74"/>
      <c r="R78" s="72"/>
      <c r="S78" s="72"/>
      <c r="T78" s="72"/>
      <c r="U78" s="72"/>
      <c r="V78" s="72"/>
      <c r="W78" s="72"/>
      <c r="X78" s="72"/>
      <c r="Y78" s="72"/>
      <c r="Z78" s="6"/>
      <c r="AA78" s="6" t="s">
        <v>67</v>
      </c>
      <c r="AB78" s="6"/>
      <c r="AC78" s="6"/>
      <c r="AD78" s="6"/>
      <c r="AE78" s="6"/>
      <c r="AF78" s="6"/>
    </row>
    <row r="79" spans="1:32" ht="28.9">
      <c r="P79" s="74" t="s">
        <v>68</v>
      </c>
      <c r="Q79" s="74"/>
    </row>
    <row r="83" spans="1:1" ht="38.450000000000003">
      <c r="A83" s="659" t="s">
        <v>75</v>
      </c>
    </row>
  </sheetData>
  <mergeCells count="1">
    <mergeCell ref="A66:A67"/>
  </mergeCells>
  <conditionalFormatting sqref="V2:Z2">
    <cfRule type="duplicateValues" dxfId="0" priority="1"/>
  </conditionalFormatting>
  <pageMargins left="0.7" right="0.7" top="0.75" bottom="0.75" header="0.3" footer="0.3"/>
  <pageSetup paperSize="9" orientation="landscape" horizontalDpi="360" verticalDpi="36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F5E3F-6DC8-1B4B-B42D-A3B86D8718D1}">
  <sheetPr>
    <tabColor rgb="FFFFC000"/>
  </sheetPr>
  <dimension ref="A1:AI80"/>
  <sheetViews>
    <sheetView showGridLines="0" tabSelected="1" zoomScale="41" zoomScaleNormal="40" workbookViewId="0">
      <selection activeCell="Y29" sqref="Y29"/>
    </sheetView>
  </sheetViews>
  <sheetFormatPr defaultColWidth="8.7109375" defaultRowHeight="14.45"/>
  <cols>
    <col min="1" max="1" width="19.7109375" customWidth="1"/>
    <col min="4" max="4" width="8.7109375" style="1"/>
    <col min="5" max="5" width="8.7109375" customWidth="1"/>
    <col min="11" max="11" width="8.140625" customWidth="1"/>
    <col min="23" max="23" width="9.42578125" customWidth="1"/>
    <col min="26" max="26" width="9.140625" customWidth="1"/>
    <col min="33" max="33" width="11.140625" customWidth="1"/>
    <col min="34" max="34" width="20.7109375" customWidth="1"/>
  </cols>
  <sheetData>
    <row r="1" spans="1:34" ht="28.9" thickTop="1" thickBot="1">
      <c r="A1" s="185" t="s">
        <v>0</v>
      </c>
      <c r="B1" s="280">
        <v>1</v>
      </c>
      <c r="C1" s="281">
        <v>2</v>
      </c>
      <c r="D1" s="281">
        <v>3</v>
      </c>
      <c r="E1" s="141">
        <v>4</v>
      </c>
      <c r="F1" s="140">
        <v>5</v>
      </c>
      <c r="G1" s="281">
        <v>6</v>
      </c>
      <c r="H1" s="281">
        <v>7</v>
      </c>
      <c r="I1" s="281">
        <v>8</v>
      </c>
      <c r="J1" s="369">
        <v>9</v>
      </c>
      <c r="K1" s="281">
        <v>10</v>
      </c>
      <c r="L1" s="142">
        <v>11</v>
      </c>
      <c r="M1" s="192">
        <v>12</v>
      </c>
      <c r="N1" s="281">
        <v>13</v>
      </c>
      <c r="O1" s="281">
        <v>14</v>
      </c>
      <c r="P1" s="283">
        <v>15</v>
      </c>
      <c r="Q1" s="281">
        <v>16</v>
      </c>
      <c r="R1" s="283">
        <v>17</v>
      </c>
      <c r="S1" s="140">
        <v>18</v>
      </c>
      <c r="T1" s="140">
        <v>19</v>
      </c>
      <c r="U1" s="283">
        <v>20</v>
      </c>
      <c r="V1" s="281">
        <v>21</v>
      </c>
      <c r="W1" s="283">
        <v>22</v>
      </c>
      <c r="X1" s="369">
        <v>23</v>
      </c>
      <c r="Y1" s="283">
        <v>24</v>
      </c>
      <c r="Z1" s="140">
        <v>25</v>
      </c>
      <c r="AA1" s="142">
        <v>26</v>
      </c>
      <c r="AB1" s="281">
        <v>27</v>
      </c>
      <c r="AC1" s="283">
        <v>28</v>
      </c>
      <c r="AD1" s="281">
        <v>29</v>
      </c>
      <c r="AE1" s="281">
        <v>30</v>
      </c>
      <c r="AF1" s="285">
        <v>31</v>
      </c>
      <c r="AG1" s="176" t="s">
        <v>1</v>
      </c>
      <c r="AH1" s="474" t="s">
        <v>2</v>
      </c>
    </row>
    <row r="2" spans="1:34" ht="29.45" thickBot="1">
      <c r="A2" s="186" t="s">
        <v>76</v>
      </c>
      <c r="B2" s="290" t="s">
        <v>4</v>
      </c>
      <c r="C2" s="120" t="s">
        <v>5</v>
      </c>
      <c r="D2" s="119" t="s">
        <v>6</v>
      </c>
      <c r="E2" s="181" t="s">
        <v>7</v>
      </c>
      <c r="F2" s="181" t="s">
        <v>8</v>
      </c>
      <c r="G2" s="119" t="s">
        <v>9</v>
      </c>
      <c r="H2" s="119" t="s">
        <v>10</v>
      </c>
      <c r="I2" s="119" t="s">
        <v>4</v>
      </c>
      <c r="J2" s="407" t="s">
        <v>5</v>
      </c>
      <c r="K2" s="291" t="s">
        <v>6</v>
      </c>
      <c r="L2" s="181" t="s">
        <v>7</v>
      </c>
      <c r="M2" s="182" t="s">
        <v>8</v>
      </c>
      <c r="N2" s="119" t="s">
        <v>9</v>
      </c>
      <c r="O2" s="119" t="s">
        <v>10</v>
      </c>
      <c r="P2" s="119" t="s">
        <v>4</v>
      </c>
      <c r="Q2" s="120" t="s">
        <v>5</v>
      </c>
      <c r="R2" s="291" t="s">
        <v>6</v>
      </c>
      <c r="S2" s="181" t="s">
        <v>7</v>
      </c>
      <c r="T2" s="182" t="s">
        <v>8</v>
      </c>
      <c r="U2" s="119" t="s">
        <v>9</v>
      </c>
      <c r="V2" s="119" t="s">
        <v>10</v>
      </c>
      <c r="W2" s="119" t="s">
        <v>4</v>
      </c>
      <c r="X2" s="407" t="s">
        <v>5</v>
      </c>
      <c r="Y2" s="291" t="s">
        <v>6</v>
      </c>
      <c r="Z2" s="181" t="s">
        <v>7</v>
      </c>
      <c r="AA2" s="182" t="s">
        <v>8</v>
      </c>
      <c r="AB2" s="287" t="s">
        <v>9</v>
      </c>
      <c r="AC2" s="9" t="s">
        <v>10</v>
      </c>
      <c r="AD2" s="287" t="s">
        <v>4</v>
      </c>
      <c r="AE2" s="120" t="s">
        <v>5</v>
      </c>
      <c r="AF2" s="120" t="s">
        <v>6</v>
      </c>
      <c r="AG2" s="214">
        <f>SUM(AG5,AG8,AG11,AG17,AG20,AG23,AG26,AG29,AG32,AG35,AG38,AG41,AG44,AG47,AG50,AG53,AG56, AG59)</f>
        <v>57</v>
      </c>
      <c r="AH2" s="475" t="s">
        <v>11</v>
      </c>
    </row>
    <row r="3" spans="1:34" ht="28.9" thickBot="1">
      <c r="A3" s="146" t="s">
        <v>12</v>
      </c>
      <c r="B3" s="292" t="s">
        <v>13</v>
      </c>
      <c r="C3" s="220" t="s">
        <v>13</v>
      </c>
      <c r="D3" s="220" t="s">
        <v>13</v>
      </c>
      <c r="E3" s="122"/>
      <c r="F3" s="122"/>
      <c r="G3" s="624" t="s">
        <v>13</v>
      </c>
      <c r="H3" s="624" t="s">
        <v>13</v>
      </c>
      <c r="I3" s="624" t="s">
        <v>13</v>
      </c>
      <c r="J3" s="624" t="s">
        <v>13</v>
      </c>
      <c r="K3" s="624" t="s">
        <v>13</v>
      </c>
      <c r="L3" s="624"/>
      <c r="M3" s="628"/>
      <c r="N3" s="220" t="s">
        <v>13</v>
      </c>
      <c r="O3" s="220" t="s">
        <v>13</v>
      </c>
      <c r="P3" s="220" t="s">
        <v>13</v>
      </c>
      <c r="Q3" s="220" t="s">
        <v>13</v>
      </c>
      <c r="R3" s="220" t="s">
        <v>13</v>
      </c>
      <c r="S3" s="122"/>
      <c r="T3" s="122"/>
      <c r="U3" s="624" t="s">
        <v>13</v>
      </c>
      <c r="V3" s="624" t="s">
        <v>13</v>
      </c>
      <c r="W3" s="624" t="s">
        <v>13</v>
      </c>
      <c r="X3" s="624" t="s">
        <v>13</v>
      </c>
      <c r="Y3" s="624" t="s">
        <v>13</v>
      </c>
      <c r="Z3" s="624"/>
      <c r="AA3" s="628"/>
      <c r="AB3" s="220" t="s">
        <v>13</v>
      </c>
      <c r="AC3" s="220" t="s">
        <v>13</v>
      </c>
      <c r="AD3" s="220" t="s">
        <v>13</v>
      </c>
      <c r="AE3" s="220" t="s">
        <v>13</v>
      </c>
      <c r="AF3" s="220" t="s">
        <v>13</v>
      </c>
      <c r="AG3" s="215">
        <f t="shared" ref="AG3:AG32" si="0">SUM(B3:AF3)</f>
        <v>0</v>
      </c>
      <c r="AH3" s="476"/>
    </row>
    <row r="4" spans="1:34" ht="28.9" thickBot="1">
      <c r="A4" s="146" t="s">
        <v>14</v>
      </c>
      <c r="B4" s="223">
        <v>7.5</v>
      </c>
      <c r="C4" s="224">
        <v>7.5</v>
      </c>
      <c r="D4" s="224">
        <v>7.5</v>
      </c>
      <c r="E4" s="103"/>
      <c r="F4" s="103"/>
      <c r="G4" s="224">
        <v>7.5</v>
      </c>
      <c r="H4" s="224">
        <v>7.5</v>
      </c>
      <c r="I4" s="224">
        <v>7.5</v>
      </c>
      <c r="J4" s="372">
        <v>7.5</v>
      </c>
      <c r="K4" s="224">
        <v>7.5</v>
      </c>
      <c r="L4" s="103"/>
      <c r="M4" s="103"/>
      <c r="N4" s="224">
        <v>7.5</v>
      </c>
      <c r="O4" s="224">
        <v>7.5</v>
      </c>
      <c r="P4" s="224">
        <v>7.5</v>
      </c>
      <c r="Q4" s="224">
        <v>7.5</v>
      </c>
      <c r="R4" s="224">
        <v>7.5</v>
      </c>
      <c r="S4" s="103"/>
      <c r="T4" s="103"/>
      <c r="U4" s="224">
        <v>7.5</v>
      </c>
      <c r="V4" s="224">
        <v>7.5</v>
      </c>
      <c r="W4" s="224">
        <v>7.5</v>
      </c>
      <c r="X4" s="372">
        <v>7.5</v>
      </c>
      <c r="Y4" s="224">
        <v>7.5</v>
      </c>
      <c r="Z4" s="103"/>
      <c r="AA4" s="103"/>
      <c r="AB4" s="224">
        <v>7.5</v>
      </c>
      <c r="AC4" s="224">
        <v>7.5</v>
      </c>
      <c r="AD4" s="224">
        <v>7.5</v>
      </c>
      <c r="AE4" s="224">
        <v>7.5</v>
      </c>
      <c r="AF4" s="224">
        <v>7.5</v>
      </c>
      <c r="AG4" s="496">
        <f t="shared" si="0"/>
        <v>172.5</v>
      </c>
      <c r="AH4" s="477"/>
    </row>
    <row r="5" spans="1:34" ht="28.9" thickBot="1">
      <c r="A5" s="187" t="s">
        <v>15</v>
      </c>
      <c r="B5" s="223"/>
      <c r="C5" s="224"/>
      <c r="D5" s="224"/>
      <c r="E5" s="115"/>
      <c r="F5" s="103"/>
      <c r="G5" s="224"/>
      <c r="H5" s="224"/>
      <c r="I5" s="224"/>
      <c r="J5" s="372"/>
      <c r="K5" s="257"/>
      <c r="L5" s="103"/>
      <c r="M5" s="145"/>
      <c r="N5" s="224"/>
      <c r="O5" s="257"/>
      <c r="P5" s="224"/>
      <c r="Q5" s="257"/>
      <c r="R5" s="224"/>
      <c r="S5" s="103"/>
      <c r="T5" s="145"/>
      <c r="U5" s="224"/>
      <c r="V5" s="257"/>
      <c r="W5" s="224"/>
      <c r="X5" s="409"/>
      <c r="Y5" s="224"/>
      <c r="Z5" s="104"/>
      <c r="AA5" s="104"/>
      <c r="AB5" s="224"/>
      <c r="AC5" s="257"/>
      <c r="AD5" s="224"/>
      <c r="AE5" s="224"/>
      <c r="AF5" s="224"/>
      <c r="AG5" s="497">
        <f t="shared" si="0"/>
        <v>0</v>
      </c>
      <c r="AH5" s="478"/>
    </row>
    <row r="6" spans="1:34" ht="28.9" thickBot="1">
      <c r="A6" s="146" t="s">
        <v>16</v>
      </c>
      <c r="B6" s="627" t="s">
        <v>13</v>
      </c>
      <c r="C6" s="624" t="s">
        <v>13</v>
      </c>
      <c r="D6" s="624" t="s">
        <v>13</v>
      </c>
      <c r="E6" s="624"/>
      <c r="F6" s="624"/>
      <c r="G6" s="220" t="s">
        <v>13</v>
      </c>
      <c r="H6" s="220" t="s">
        <v>13</v>
      </c>
      <c r="I6" s="220" t="s">
        <v>13</v>
      </c>
      <c r="J6" s="382" t="s">
        <v>13</v>
      </c>
      <c r="K6" s="220" t="s">
        <v>13</v>
      </c>
      <c r="L6" s="122"/>
      <c r="M6" s="342"/>
      <c r="N6" s="624" t="s">
        <v>13</v>
      </c>
      <c r="O6" s="624" t="s">
        <v>13</v>
      </c>
      <c r="P6" s="624" t="s">
        <v>13</v>
      </c>
      <c r="Q6" s="624" t="s">
        <v>13</v>
      </c>
      <c r="R6" s="624" t="s">
        <v>13</v>
      </c>
      <c r="S6" s="624"/>
      <c r="T6" s="624"/>
      <c r="U6" s="220" t="s">
        <v>13</v>
      </c>
      <c r="V6" s="220" t="s">
        <v>13</v>
      </c>
      <c r="W6" s="220" t="s">
        <v>13</v>
      </c>
      <c r="X6" s="382" t="s">
        <v>13</v>
      </c>
      <c r="Y6" s="220" t="s">
        <v>13</v>
      </c>
      <c r="Z6" s="122"/>
      <c r="AA6" s="342"/>
      <c r="AB6" s="624" t="s">
        <v>13</v>
      </c>
      <c r="AC6" s="624" t="s">
        <v>13</v>
      </c>
      <c r="AD6" s="624" t="s">
        <v>13</v>
      </c>
      <c r="AE6" s="624" t="s">
        <v>13</v>
      </c>
      <c r="AF6" s="624" t="s">
        <v>13</v>
      </c>
      <c r="AG6" s="215">
        <f t="shared" si="0"/>
        <v>0</v>
      </c>
      <c r="AH6" s="479"/>
    </row>
    <row r="7" spans="1:34" ht="28.9" thickBot="1">
      <c r="A7" s="146" t="s">
        <v>19</v>
      </c>
      <c r="B7" s="223">
        <v>7.5</v>
      </c>
      <c r="C7" s="224">
        <v>7.5</v>
      </c>
      <c r="D7" s="224">
        <v>7.5</v>
      </c>
      <c r="E7" s="103"/>
      <c r="F7" s="103"/>
      <c r="G7" s="224">
        <v>7.5</v>
      </c>
      <c r="H7" s="224">
        <v>7.5</v>
      </c>
      <c r="I7" s="224">
        <v>7.5</v>
      </c>
      <c r="J7" s="372">
        <v>7.5</v>
      </c>
      <c r="K7" s="224">
        <v>7.5</v>
      </c>
      <c r="L7" s="103"/>
      <c r="M7" s="103"/>
      <c r="N7" s="224">
        <v>7.5</v>
      </c>
      <c r="O7" s="224">
        <v>7.5</v>
      </c>
      <c r="P7" s="224">
        <v>7.5</v>
      </c>
      <c r="Q7" s="224">
        <v>7.5</v>
      </c>
      <c r="R7" s="224">
        <v>7.5</v>
      </c>
      <c r="S7" s="103"/>
      <c r="T7" s="103"/>
      <c r="U7" s="224">
        <v>7.5</v>
      </c>
      <c r="V7" s="224">
        <v>7.5</v>
      </c>
      <c r="W7" s="224">
        <v>7.5</v>
      </c>
      <c r="X7" s="372">
        <v>7.5</v>
      </c>
      <c r="Y7" s="224">
        <v>7.5</v>
      </c>
      <c r="Z7" s="103"/>
      <c r="AA7" s="103"/>
      <c r="AB7" s="224">
        <v>7.5</v>
      </c>
      <c r="AC7" s="224">
        <v>7.5</v>
      </c>
      <c r="AD7" s="224">
        <v>7.5</v>
      </c>
      <c r="AE7" s="224">
        <v>7.5</v>
      </c>
      <c r="AF7" s="224">
        <v>7.5</v>
      </c>
      <c r="AG7" s="496">
        <f t="shared" si="0"/>
        <v>172.5</v>
      </c>
      <c r="AH7" s="480">
        <f>SUM(AG7-AG61)</f>
        <v>7</v>
      </c>
    </row>
    <row r="8" spans="1:34" ht="28.9" thickBot="1">
      <c r="A8" s="187" t="s">
        <v>20</v>
      </c>
      <c r="B8" s="631"/>
      <c r="C8" s="632"/>
      <c r="D8" s="632"/>
      <c r="E8" s="633"/>
      <c r="F8" s="634"/>
      <c r="G8" s="632"/>
      <c r="H8" s="632"/>
      <c r="I8" s="632"/>
      <c r="J8" s="635"/>
      <c r="K8" s="636"/>
      <c r="L8" s="634"/>
      <c r="M8" s="637"/>
      <c r="N8" s="632"/>
      <c r="O8" s="636"/>
      <c r="P8" s="632"/>
      <c r="Q8" s="636"/>
      <c r="R8" s="632"/>
      <c r="S8" s="634"/>
      <c r="T8" s="637"/>
      <c r="U8" s="632"/>
      <c r="V8" s="636"/>
      <c r="W8" s="632"/>
      <c r="X8" s="638"/>
      <c r="Y8" s="632"/>
      <c r="Z8" s="639"/>
      <c r="AA8" s="639"/>
      <c r="AB8" s="632"/>
      <c r="AC8" s="636"/>
      <c r="AD8" s="632"/>
      <c r="AE8" s="632"/>
      <c r="AF8" s="640"/>
      <c r="AG8" s="497">
        <f t="shared" si="0"/>
        <v>0</v>
      </c>
      <c r="AH8" s="481"/>
    </row>
    <row r="9" spans="1:34" ht="28.9" thickBot="1">
      <c r="A9" s="173" t="s">
        <v>21</v>
      </c>
      <c r="B9" s="223"/>
      <c r="C9" s="224"/>
      <c r="D9" s="224" t="s">
        <v>18</v>
      </c>
      <c r="E9" s="107" t="s">
        <v>18</v>
      </c>
      <c r="F9" s="108"/>
      <c r="G9" s="224"/>
      <c r="H9" s="224"/>
      <c r="I9" s="224"/>
      <c r="J9" s="372" t="s">
        <v>18</v>
      </c>
      <c r="K9" s="224" t="s">
        <v>18</v>
      </c>
      <c r="L9" s="117"/>
      <c r="M9" s="109"/>
      <c r="N9" s="224"/>
      <c r="O9" s="224"/>
      <c r="P9" s="246" t="s">
        <v>18</v>
      </c>
      <c r="Q9" s="248" t="s">
        <v>18</v>
      </c>
      <c r="R9" s="246"/>
      <c r="S9" s="108"/>
      <c r="T9" s="107"/>
      <c r="U9" s="246"/>
      <c r="V9" s="246" t="s">
        <v>18</v>
      </c>
      <c r="W9" s="248" t="s">
        <v>18</v>
      </c>
      <c r="X9" s="411"/>
      <c r="Y9" s="246"/>
      <c r="Z9" s="107"/>
      <c r="AA9" s="108"/>
      <c r="AB9" s="246" t="s">
        <v>18</v>
      </c>
      <c r="AC9" s="248" t="s">
        <v>18</v>
      </c>
      <c r="AD9" s="248"/>
      <c r="AE9" s="248"/>
      <c r="AF9" s="248"/>
      <c r="AG9" s="215">
        <f t="shared" si="0"/>
        <v>0</v>
      </c>
      <c r="AH9" s="482"/>
    </row>
    <row r="10" spans="1:34" ht="28.9" thickBot="1">
      <c r="A10" s="146" t="s">
        <v>22</v>
      </c>
      <c r="B10" s="255"/>
      <c r="C10" s="246"/>
      <c r="D10" s="246">
        <v>15</v>
      </c>
      <c r="E10" s="107">
        <v>15</v>
      </c>
      <c r="F10" s="108">
        <v>0.5</v>
      </c>
      <c r="G10" s="246"/>
      <c r="H10" s="248"/>
      <c r="I10" s="246"/>
      <c r="J10" s="376">
        <v>15</v>
      </c>
      <c r="K10" s="248">
        <v>15</v>
      </c>
      <c r="L10" s="108">
        <v>0.5</v>
      </c>
      <c r="M10" s="109"/>
      <c r="N10" s="246"/>
      <c r="O10" s="246"/>
      <c r="P10" s="246">
        <v>15</v>
      </c>
      <c r="Q10" s="248">
        <v>15</v>
      </c>
      <c r="R10" s="246">
        <v>0.5</v>
      </c>
      <c r="S10" s="108"/>
      <c r="T10" s="107"/>
      <c r="U10" s="246"/>
      <c r="V10" s="246">
        <v>15</v>
      </c>
      <c r="W10" s="248">
        <v>15</v>
      </c>
      <c r="X10" s="376">
        <v>5.5</v>
      </c>
      <c r="Y10" s="246"/>
      <c r="Z10" s="107"/>
      <c r="AA10" s="109"/>
      <c r="AB10" s="246">
        <v>15</v>
      </c>
      <c r="AC10" s="248">
        <v>15</v>
      </c>
      <c r="AD10" s="248">
        <v>0.5</v>
      </c>
      <c r="AE10" s="248"/>
      <c r="AF10" s="248"/>
      <c r="AG10" s="496">
        <f t="shared" si="0"/>
        <v>157.5</v>
      </c>
      <c r="AH10" s="480">
        <f>SUM(AG10-AG61)</f>
        <v>-8</v>
      </c>
    </row>
    <row r="11" spans="1:34" ht="28.9" thickBot="1">
      <c r="A11" s="187" t="s">
        <v>23</v>
      </c>
      <c r="B11" s="226"/>
      <c r="C11" s="227"/>
      <c r="D11" s="227">
        <v>1</v>
      </c>
      <c r="E11" s="135">
        <v>1</v>
      </c>
      <c r="F11" s="133"/>
      <c r="G11" s="227"/>
      <c r="H11" s="227"/>
      <c r="I11" s="227"/>
      <c r="J11" s="373">
        <v>1</v>
      </c>
      <c r="K11" s="229">
        <v>1</v>
      </c>
      <c r="L11" s="133"/>
      <c r="M11" s="134"/>
      <c r="N11" s="227"/>
      <c r="O11" s="227"/>
      <c r="P11" s="228">
        <v>1</v>
      </c>
      <c r="Q11" s="229">
        <v>1</v>
      </c>
      <c r="R11" s="227"/>
      <c r="S11" s="133"/>
      <c r="T11" s="134"/>
      <c r="U11" s="227"/>
      <c r="V11" s="229">
        <v>1</v>
      </c>
      <c r="W11" s="227">
        <v>1</v>
      </c>
      <c r="X11" s="380"/>
      <c r="Y11" s="227"/>
      <c r="Z11" s="134"/>
      <c r="AA11" s="136"/>
      <c r="AB11" s="227">
        <v>1</v>
      </c>
      <c r="AC11" s="229">
        <v>1</v>
      </c>
      <c r="AD11" s="227"/>
      <c r="AE11" s="227"/>
      <c r="AF11" s="227"/>
      <c r="AG11" s="497">
        <f t="shared" si="0"/>
        <v>10</v>
      </c>
      <c r="AH11" s="483"/>
    </row>
    <row r="12" spans="1:34" ht="28.9" hidden="1" thickBot="1">
      <c r="A12" s="173"/>
      <c r="B12" s="218"/>
      <c r="C12" s="219"/>
      <c r="D12" s="262"/>
      <c r="E12" s="341"/>
      <c r="F12" s="105"/>
      <c r="G12" s="219"/>
      <c r="H12" s="219"/>
      <c r="I12" s="219"/>
      <c r="J12" s="378"/>
      <c r="K12" s="299"/>
      <c r="L12" s="105"/>
      <c r="M12" s="106"/>
      <c r="N12" s="219"/>
      <c r="O12" s="219"/>
      <c r="P12" s="222"/>
      <c r="Q12" s="253"/>
      <c r="R12" s="222"/>
      <c r="S12" s="105"/>
      <c r="T12" s="111"/>
      <c r="U12" s="222"/>
      <c r="V12" s="222"/>
      <c r="W12" s="253"/>
      <c r="X12" s="379"/>
      <c r="Y12" s="222"/>
      <c r="Z12" s="111"/>
      <c r="AA12" s="106"/>
      <c r="AB12" s="222"/>
      <c r="AC12" s="253"/>
      <c r="AD12" s="253"/>
      <c r="AE12" s="253"/>
      <c r="AF12" s="253"/>
      <c r="AG12" s="215">
        <f t="shared" si="0"/>
        <v>0</v>
      </c>
      <c r="AH12" s="479"/>
    </row>
    <row r="13" spans="1:34" ht="28.9" hidden="1" thickBot="1">
      <c r="A13" s="146"/>
      <c r="B13" s="255"/>
      <c r="C13" s="246"/>
      <c r="D13" s="297"/>
      <c r="E13" s="116"/>
      <c r="F13" s="108"/>
      <c r="G13" s="246"/>
      <c r="H13" s="248"/>
      <c r="I13" s="246"/>
      <c r="J13" s="408"/>
      <c r="K13" s="300"/>
      <c r="L13" s="108"/>
      <c r="M13" s="109"/>
      <c r="N13" s="246"/>
      <c r="O13" s="246"/>
      <c r="P13" s="246"/>
      <c r="Q13" s="248"/>
      <c r="R13" s="246"/>
      <c r="S13" s="108"/>
      <c r="T13" s="107"/>
      <c r="U13" s="246"/>
      <c r="V13" s="246"/>
      <c r="W13" s="248"/>
      <c r="X13" s="376"/>
      <c r="Y13" s="246"/>
      <c r="Z13" s="107"/>
      <c r="AA13" s="109"/>
      <c r="AB13" s="246"/>
      <c r="AC13" s="248"/>
      <c r="AD13" s="248"/>
      <c r="AE13" s="248"/>
      <c r="AF13" s="248"/>
      <c r="AG13" s="496">
        <f t="shared" si="0"/>
        <v>0</v>
      </c>
      <c r="AH13" s="480">
        <f>SUM(AG13-AG67)</f>
        <v>0</v>
      </c>
    </row>
    <row r="14" spans="1:34" ht="28.9" hidden="1" thickBot="1">
      <c r="A14" s="187"/>
      <c r="B14" s="226"/>
      <c r="C14" s="227"/>
      <c r="D14" s="227"/>
      <c r="E14" s="135"/>
      <c r="F14" s="133"/>
      <c r="G14" s="227"/>
      <c r="H14" s="227"/>
      <c r="I14" s="227"/>
      <c r="J14" s="373"/>
      <c r="K14" s="229"/>
      <c r="L14" s="133"/>
      <c r="M14" s="134"/>
      <c r="N14" s="227"/>
      <c r="O14" s="227"/>
      <c r="P14" s="228"/>
      <c r="Q14" s="229"/>
      <c r="R14" s="227"/>
      <c r="S14" s="133"/>
      <c r="T14" s="134"/>
      <c r="U14" s="227"/>
      <c r="V14" s="229"/>
      <c r="W14" s="227"/>
      <c r="X14" s="380"/>
      <c r="Y14" s="227"/>
      <c r="Z14" s="134"/>
      <c r="AA14" s="136"/>
      <c r="AB14" s="227"/>
      <c r="AC14" s="229"/>
      <c r="AD14" s="227"/>
      <c r="AE14" s="227"/>
      <c r="AF14" s="227"/>
      <c r="AG14" s="497">
        <f t="shared" si="0"/>
        <v>0</v>
      </c>
      <c r="AH14" s="483"/>
    </row>
    <row r="15" spans="1:34" ht="28.9" thickBot="1">
      <c r="A15" s="173" t="s">
        <v>24</v>
      </c>
      <c r="B15" s="249" t="s">
        <v>18</v>
      </c>
      <c r="C15" s="251" t="s">
        <v>18</v>
      </c>
      <c r="D15" s="251"/>
      <c r="E15" s="108"/>
      <c r="F15" s="108"/>
      <c r="G15" s="251"/>
      <c r="H15" s="251" t="s">
        <v>18</v>
      </c>
      <c r="I15" s="251" t="s">
        <v>18</v>
      </c>
      <c r="J15" s="399"/>
      <c r="K15" s="251"/>
      <c r="L15" s="108"/>
      <c r="M15" s="109"/>
      <c r="N15" s="428" t="s">
        <v>18</v>
      </c>
      <c r="O15" s="428" t="s">
        <v>18</v>
      </c>
      <c r="P15" s="220"/>
      <c r="Q15" s="297"/>
      <c r="R15" s="429"/>
      <c r="S15" s="117"/>
      <c r="T15" s="122" t="s">
        <v>18</v>
      </c>
      <c r="U15" s="423" t="s">
        <v>18</v>
      </c>
      <c r="V15" s="220"/>
      <c r="W15" s="220"/>
      <c r="X15" s="430"/>
      <c r="Y15" s="587"/>
      <c r="Z15" s="462">
        <v>2</v>
      </c>
      <c r="AA15" s="602">
        <v>2</v>
      </c>
      <c r="AB15" s="462"/>
      <c r="AC15" s="473"/>
      <c r="AD15" s="473"/>
      <c r="AE15" s="473"/>
      <c r="AF15" s="473">
        <v>2</v>
      </c>
      <c r="AG15" s="215">
        <f t="shared" si="0"/>
        <v>6</v>
      </c>
      <c r="AH15" s="479"/>
    </row>
    <row r="16" spans="1:34" ht="28.9" thickBot="1">
      <c r="A16" s="146" t="s">
        <v>25</v>
      </c>
      <c r="B16" s="255">
        <v>15</v>
      </c>
      <c r="C16" s="248">
        <v>15</v>
      </c>
      <c r="D16" s="246">
        <v>0.5</v>
      </c>
      <c r="E16" s="108"/>
      <c r="F16" s="108"/>
      <c r="G16" s="246"/>
      <c r="H16" s="246">
        <v>15</v>
      </c>
      <c r="I16" s="248">
        <v>15</v>
      </c>
      <c r="J16" s="376">
        <v>5.5</v>
      </c>
      <c r="K16" s="246"/>
      <c r="L16" s="108"/>
      <c r="M16" s="109"/>
      <c r="N16" s="246">
        <v>15</v>
      </c>
      <c r="O16" s="248">
        <v>15</v>
      </c>
      <c r="P16" s="246">
        <v>0.5</v>
      </c>
      <c r="Q16" s="246"/>
      <c r="R16" s="252"/>
      <c r="S16" s="108"/>
      <c r="T16" s="108">
        <v>15</v>
      </c>
      <c r="U16" s="248">
        <v>15</v>
      </c>
      <c r="V16" s="246">
        <v>0.5</v>
      </c>
      <c r="W16" s="246"/>
      <c r="X16" s="376">
        <v>5</v>
      </c>
      <c r="Y16" s="451"/>
      <c r="Z16" s="588">
        <v>15</v>
      </c>
      <c r="AA16" s="459">
        <v>15</v>
      </c>
      <c r="AB16" s="451"/>
      <c r="AC16" s="452"/>
      <c r="AD16" s="452"/>
      <c r="AE16" s="452"/>
      <c r="AF16" s="452">
        <v>15</v>
      </c>
      <c r="AG16" s="496">
        <f t="shared" si="0"/>
        <v>177</v>
      </c>
      <c r="AH16" s="480">
        <f>SUM(AG16-AG61)</f>
        <v>11.5</v>
      </c>
    </row>
    <row r="17" spans="1:34" ht="28.9" thickBot="1">
      <c r="A17" s="187" t="s">
        <v>23</v>
      </c>
      <c r="B17" s="303">
        <v>1</v>
      </c>
      <c r="C17" s="304">
        <v>1</v>
      </c>
      <c r="D17" s="304"/>
      <c r="E17" s="178"/>
      <c r="F17" s="177"/>
      <c r="G17" s="304"/>
      <c r="H17" s="304">
        <v>1</v>
      </c>
      <c r="I17" s="304">
        <v>1</v>
      </c>
      <c r="J17" s="398"/>
      <c r="K17" s="306"/>
      <c r="L17" s="177"/>
      <c r="M17" s="179"/>
      <c r="N17" s="304">
        <v>1</v>
      </c>
      <c r="O17" s="306">
        <v>1</v>
      </c>
      <c r="P17" s="304"/>
      <c r="Q17" s="306"/>
      <c r="R17" s="304"/>
      <c r="S17" s="177"/>
      <c r="T17" s="179">
        <v>1</v>
      </c>
      <c r="U17" s="304">
        <v>1</v>
      </c>
      <c r="V17" s="306"/>
      <c r="W17" s="304"/>
      <c r="X17" s="400"/>
      <c r="Y17" s="589"/>
      <c r="Z17" s="589"/>
      <c r="AA17" s="590"/>
      <c r="AB17" s="589"/>
      <c r="AC17" s="591"/>
      <c r="AD17" s="589"/>
      <c r="AE17" s="589"/>
      <c r="AF17" s="589"/>
      <c r="AG17" s="497">
        <f t="shared" si="0"/>
        <v>8</v>
      </c>
      <c r="AH17" s="483"/>
    </row>
    <row r="18" spans="1:34" ht="28.9" thickBot="1">
      <c r="A18" s="173" t="s">
        <v>26</v>
      </c>
      <c r="B18" s="218"/>
      <c r="C18" s="219"/>
      <c r="D18" s="219"/>
      <c r="E18" s="130"/>
      <c r="F18" s="114" t="s">
        <v>18</v>
      </c>
      <c r="G18" s="219" t="s">
        <v>18</v>
      </c>
      <c r="H18" s="219"/>
      <c r="I18" s="219"/>
      <c r="J18" s="371"/>
      <c r="K18" s="222"/>
      <c r="L18" s="105" t="s">
        <v>18</v>
      </c>
      <c r="M18" s="106" t="s">
        <v>18</v>
      </c>
      <c r="N18" s="222"/>
      <c r="O18" s="222"/>
      <c r="P18" s="253"/>
      <c r="Q18" s="222"/>
      <c r="R18" s="222" t="s">
        <v>18</v>
      </c>
      <c r="S18" s="114" t="s">
        <v>18</v>
      </c>
      <c r="T18" s="118"/>
      <c r="U18" s="219"/>
      <c r="V18" s="219"/>
      <c r="W18" s="295"/>
      <c r="X18" s="410" t="s">
        <v>18</v>
      </c>
      <c r="Y18" s="219" t="s">
        <v>18</v>
      </c>
      <c r="Z18" s="118"/>
      <c r="AA18" s="114"/>
      <c r="AB18" s="219"/>
      <c r="AC18" s="296"/>
      <c r="AD18" s="219" t="s">
        <v>18</v>
      </c>
      <c r="AE18" s="295" t="s">
        <v>18</v>
      </c>
      <c r="AF18" s="295"/>
      <c r="AG18" s="215">
        <f t="shared" si="0"/>
        <v>0</v>
      </c>
      <c r="AH18" s="479"/>
    </row>
    <row r="19" spans="1:34" ht="28.9" thickBot="1">
      <c r="A19" s="146" t="s">
        <v>27</v>
      </c>
      <c r="B19" s="223"/>
      <c r="C19" s="224"/>
      <c r="D19" s="224"/>
      <c r="E19" s="115"/>
      <c r="F19" s="103">
        <v>15</v>
      </c>
      <c r="G19" s="224">
        <v>15</v>
      </c>
      <c r="H19" s="224">
        <v>0.5</v>
      </c>
      <c r="I19" s="224"/>
      <c r="J19" s="372">
        <v>5</v>
      </c>
      <c r="K19" s="224"/>
      <c r="L19" s="103">
        <v>15</v>
      </c>
      <c r="M19" s="103">
        <v>15</v>
      </c>
      <c r="N19" s="224">
        <v>0.5</v>
      </c>
      <c r="O19" s="224"/>
      <c r="P19" s="224"/>
      <c r="Q19" s="224"/>
      <c r="R19" s="224">
        <v>15</v>
      </c>
      <c r="S19" s="103">
        <v>15</v>
      </c>
      <c r="T19" s="103">
        <v>0.5</v>
      </c>
      <c r="U19" s="224"/>
      <c r="V19" s="224"/>
      <c r="W19" s="224"/>
      <c r="X19" s="372">
        <v>15</v>
      </c>
      <c r="Y19" s="224">
        <v>15</v>
      </c>
      <c r="Z19" s="103">
        <v>0.5</v>
      </c>
      <c r="AA19" s="103"/>
      <c r="AB19" s="224"/>
      <c r="AC19" s="224"/>
      <c r="AD19" s="224">
        <v>15</v>
      </c>
      <c r="AE19" s="224">
        <v>15</v>
      </c>
      <c r="AF19" s="294">
        <v>0.5</v>
      </c>
      <c r="AG19" s="496">
        <f t="shared" si="0"/>
        <v>157.5</v>
      </c>
      <c r="AH19" s="480">
        <f>SUM(AG19-AG61)</f>
        <v>-8</v>
      </c>
    </row>
    <row r="20" spans="1:34" ht="25.9" customHeight="1" thickBot="1">
      <c r="A20" s="187" t="s">
        <v>28</v>
      </c>
      <c r="B20" s="226"/>
      <c r="C20" s="227"/>
      <c r="D20" s="227"/>
      <c r="E20" s="135"/>
      <c r="F20" s="133">
        <v>1</v>
      </c>
      <c r="G20" s="227">
        <v>1</v>
      </c>
      <c r="H20" s="227"/>
      <c r="I20" s="227"/>
      <c r="J20" s="373"/>
      <c r="K20" s="229"/>
      <c r="L20" s="133">
        <v>1</v>
      </c>
      <c r="M20" s="134">
        <v>1</v>
      </c>
      <c r="N20" s="227"/>
      <c r="O20" s="229"/>
      <c r="P20" s="227"/>
      <c r="Q20" s="229"/>
      <c r="R20" s="227">
        <v>1</v>
      </c>
      <c r="S20" s="133">
        <v>1</v>
      </c>
      <c r="T20" s="134"/>
      <c r="U20" s="227"/>
      <c r="V20" s="227"/>
      <c r="W20" s="228"/>
      <c r="X20" s="380">
        <v>1</v>
      </c>
      <c r="Y20" s="227">
        <v>1</v>
      </c>
      <c r="Z20" s="134"/>
      <c r="AA20" s="133"/>
      <c r="AB20" s="227"/>
      <c r="AC20" s="229"/>
      <c r="AD20" s="227">
        <v>1</v>
      </c>
      <c r="AE20" s="228">
        <v>1</v>
      </c>
      <c r="AF20" s="228"/>
      <c r="AG20" s="497">
        <f t="shared" si="0"/>
        <v>10</v>
      </c>
      <c r="AH20" s="483"/>
    </row>
    <row r="21" spans="1:34" ht="28.9" thickBot="1">
      <c r="A21" s="173" t="s">
        <v>29</v>
      </c>
      <c r="B21" s="454"/>
      <c r="C21" s="455"/>
      <c r="D21" s="455"/>
      <c r="E21" s="462">
        <v>2</v>
      </c>
      <c r="F21" s="463">
        <v>2</v>
      </c>
      <c r="G21" s="455"/>
      <c r="H21" s="455"/>
      <c r="I21" s="455"/>
      <c r="J21" s="455"/>
      <c r="K21" s="251" t="s">
        <v>18</v>
      </c>
      <c r="L21" s="111" t="s">
        <v>18</v>
      </c>
      <c r="M21" s="106"/>
      <c r="N21" s="251"/>
      <c r="O21" s="251"/>
      <c r="P21" s="222"/>
      <c r="Q21" s="222" t="s">
        <v>18</v>
      </c>
      <c r="R21" s="253" t="s">
        <v>18</v>
      </c>
      <c r="S21" s="105"/>
      <c r="T21" s="105"/>
      <c r="U21" s="222"/>
      <c r="V21" s="222"/>
      <c r="W21" s="222" t="s">
        <v>18</v>
      </c>
      <c r="X21" s="401" t="s">
        <v>18</v>
      </c>
      <c r="Y21" s="222"/>
      <c r="Z21" s="106"/>
      <c r="AA21" s="106"/>
      <c r="AB21" s="222"/>
      <c r="AC21" s="222" t="s">
        <v>18</v>
      </c>
      <c r="AD21" s="222" t="s">
        <v>18</v>
      </c>
      <c r="AE21" s="253"/>
      <c r="AF21" s="253"/>
      <c r="AG21" s="215">
        <f t="shared" si="0"/>
        <v>4</v>
      </c>
      <c r="AH21" s="479"/>
    </row>
    <row r="22" spans="1:34" ht="28.9" thickBot="1">
      <c r="A22" s="146" t="s">
        <v>30</v>
      </c>
      <c r="B22" s="456"/>
      <c r="C22" s="451"/>
      <c r="D22" s="451"/>
      <c r="E22" s="451">
        <v>15</v>
      </c>
      <c r="F22" s="452">
        <v>15</v>
      </c>
      <c r="G22" s="458"/>
      <c r="H22" s="451"/>
      <c r="I22" s="452"/>
      <c r="J22" s="451"/>
      <c r="K22" s="246">
        <v>15</v>
      </c>
      <c r="L22" s="107">
        <v>15</v>
      </c>
      <c r="M22" s="109">
        <v>0.5</v>
      </c>
      <c r="N22" s="246"/>
      <c r="O22" s="248"/>
      <c r="P22" s="246"/>
      <c r="Q22" s="246">
        <v>15</v>
      </c>
      <c r="R22" s="248">
        <v>15</v>
      </c>
      <c r="S22" s="108">
        <v>0.5</v>
      </c>
      <c r="T22" s="108"/>
      <c r="U22" s="246"/>
      <c r="V22" s="246"/>
      <c r="W22" s="246">
        <v>15</v>
      </c>
      <c r="X22" s="375">
        <v>15</v>
      </c>
      <c r="Y22" s="246">
        <v>0.5</v>
      </c>
      <c r="Z22" s="109"/>
      <c r="AA22" s="109"/>
      <c r="AB22" s="246"/>
      <c r="AC22" s="246">
        <v>15</v>
      </c>
      <c r="AD22" s="246">
        <v>15</v>
      </c>
      <c r="AE22" s="248">
        <v>0.5</v>
      </c>
      <c r="AF22" s="248"/>
      <c r="AG22" s="496">
        <f t="shared" si="0"/>
        <v>152</v>
      </c>
      <c r="AH22" s="480">
        <f>SUM(AG22-AG61)</f>
        <v>-13.5</v>
      </c>
    </row>
    <row r="23" spans="1:34" ht="25.9" customHeight="1" thickBot="1">
      <c r="A23" s="187" t="s">
        <v>28</v>
      </c>
      <c r="B23" s="457"/>
      <c r="C23" s="453"/>
      <c r="D23" s="453"/>
      <c r="E23" s="453"/>
      <c r="F23" s="453"/>
      <c r="G23" s="453"/>
      <c r="H23" s="453"/>
      <c r="I23" s="453"/>
      <c r="J23" s="453"/>
      <c r="K23" s="227">
        <v>1</v>
      </c>
      <c r="L23" s="133">
        <v>1</v>
      </c>
      <c r="M23" s="136"/>
      <c r="N23" s="227"/>
      <c r="O23" s="227"/>
      <c r="P23" s="227"/>
      <c r="Q23" s="229">
        <v>1</v>
      </c>
      <c r="R23" s="227">
        <v>1</v>
      </c>
      <c r="S23" s="133"/>
      <c r="T23" s="133"/>
      <c r="U23" s="227"/>
      <c r="V23" s="227"/>
      <c r="W23" s="227">
        <v>1</v>
      </c>
      <c r="X23" s="380">
        <v>1</v>
      </c>
      <c r="Y23" s="227"/>
      <c r="Z23" s="133"/>
      <c r="AA23" s="136"/>
      <c r="AB23" s="227"/>
      <c r="AC23" s="227">
        <v>1</v>
      </c>
      <c r="AD23" s="227">
        <v>1</v>
      </c>
      <c r="AE23" s="227"/>
      <c r="AF23" s="227"/>
      <c r="AG23" s="497">
        <f t="shared" si="0"/>
        <v>8</v>
      </c>
      <c r="AH23" s="483"/>
    </row>
    <row r="24" spans="1:34" ht="29.45" hidden="1" thickBot="1">
      <c r="A24" s="173"/>
      <c r="B24" s="266"/>
      <c r="C24" s="222"/>
      <c r="D24" s="222"/>
      <c r="E24" s="111"/>
      <c r="F24" s="105"/>
      <c r="G24" s="222"/>
      <c r="H24" s="222"/>
      <c r="I24" s="222"/>
      <c r="J24" s="379"/>
      <c r="K24" s="222"/>
      <c r="L24" s="105"/>
      <c r="M24" s="106"/>
      <c r="N24" s="222"/>
      <c r="O24" s="254"/>
      <c r="P24" s="222"/>
      <c r="Q24" s="254"/>
      <c r="R24" s="222"/>
      <c r="S24" s="105"/>
      <c r="T24" s="112"/>
      <c r="U24" s="222"/>
      <c r="V24" s="254"/>
      <c r="W24" s="222"/>
      <c r="X24" s="383"/>
      <c r="Y24" s="222"/>
      <c r="Z24" s="105"/>
      <c r="AA24" s="106"/>
      <c r="AB24" s="309"/>
      <c r="AC24" s="222"/>
      <c r="AD24" s="222"/>
      <c r="AE24" s="222"/>
      <c r="AF24" s="222"/>
      <c r="AG24" s="215">
        <f t="shared" si="0"/>
        <v>0</v>
      </c>
      <c r="AH24" s="479"/>
    </row>
    <row r="25" spans="1:34" ht="28.9" hidden="1" thickBot="1">
      <c r="A25" s="146"/>
      <c r="B25" s="223"/>
      <c r="C25" s="224"/>
      <c r="D25" s="224"/>
      <c r="E25" s="108"/>
      <c r="F25" s="108"/>
      <c r="G25" s="224"/>
      <c r="H25" s="224"/>
      <c r="I25" s="224"/>
      <c r="J25" s="372"/>
      <c r="K25" s="257"/>
      <c r="L25" s="108"/>
      <c r="M25" s="109"/>
      <c r="N25" s="224"/>
      <c r="O25" s="224"/>
      <c r="P25" s="224"/>
      <c r="Q25" s="224"/>
      <c r="R25" s="257"/>
      <c r="S25" s="108"/>
      <c r="T25" s="108"/>
      <c r="U25" s="224"/>
      <c r="V25" s="224"/>
      <c r="W25" s="294"/>
      <c r="X25" s="409"/>
      <c r="Y25" s="224"/>
      <c r="Z25" s="108"/>
      <c r="AA25" s="109"/>
      <c r="AB25" s="224"/>
      <c r="AC25" s="257"/>
      <c r="AD25" s="224"/>
      <c r="AE25" s="294"/>
      <c r="AF25" s="294"/>
      <c r="AG25" s="496">
        <f t="shared" si="0"/>
        <v>0</v>
      </c>
      <c r="AH25" s="480">
        <f>SUM(AG25-AG61)</f>
        <v>-165.5</v>
      </c>
    </row>
    <row r="26" spans="1:34" ht="28.9" hidden="1" thickBot="1">
      <c r="A26" s="187"/>
      <c r="B26" s="303"/>
      <c r="C26" s="304"/>
      <c r="D26" s="304"/>
      <c r="E26" s="178"/>
      <c r="F26" s="177"/>
      <c r="G26" s="304"/>
      <c r="H26" s="304"/>
      <c r="I26" s="304"/>
      <c r="J26" s="398"/>
      <c r="K26" s="304"/>
      <c r="L26" s="177"/>
      <c r="M26" s="343"/>
      <c r="N26" s="304"/>
      <c r="O26" s="304"/>
      <c r="P26" s="304"/>
      <c r="Q26" s="304"/>
      <c r="R26" s="304"/>
      <c r="S26" s="177"/>
      <c r="T26" s="178"/>
      <c r="U26" s="304"/>
      <c r="V26" s="304"/>
      <c r="W26" s="305"/>
      <c r="X26" s="398"/>
      <c r="Y26" s="304"/>
      <c r="Z26" s="177"/>
      <c r="AA26" s="343"/>
      <c r="AB26" s="304"/>
      <c r="AC26" s="304"/>
      <c r="AD26" s="304"/>
      <c r="AE26" s="306"/>
      <c r="AF26" s="304"/>
      <c r="AG26" s="497">
        <f t="shared" si="0"/>
        <v>0</v>
      </c>
      <c r="AH26" s="483"/>
    </row>
    <row r="27" spans="1:34" ht="28.9" thickBot="1">
      <c r="A27" s="465" t="s">
        <v>31</v>
      </c>
      <c r="B27" s="255"/>
      <c r="C27" s="246" t="s">
        <v>18</v>
      </c>
      <c r="D27" s="251" t="s">
        <v>18</v>
      </c>
      <c r="E27" s="102"/>
      <c r="F27" s="102"/>
      <c r="G27" s="246"/>
      <c r="H27" s="246"/>
      <c r="I27" s="246" t="s">
        <v>18</v>
      </c>
      <c r="J27" s="399" t="s">
        <v>18</v>
      </c>
      <c r="K27" s="251"/>
      <c r="L27" s="102"/>
      <c r="M27" s="109"/>
      <c r="N27" s="246"/>
      <c r="O27" s="246" t="s">
        <v>18</v>
      </c>
      <c r="P27" s="251" t="s">
        <v>18</v>
      </c>
      <c r="Q27" s="251"/>
      <c r="R27" s="251"/>
      <c r="S27" s="108"/>
      <c r="T27" s="107"/>
      <c r="U27" s="246" t="s">
        <v>18</v>
      </c>
      <c r="V27" s="251" t="s">
        <v>18</v>
      </c>
      <c r="W27" s="251"/>
      <c r="X27" s="399" t="s">
        <v>32</v>
      </c>
      <c r="Y27" s="246"/>
      <c r="Z27" s="108"/>
      <c r="AA27" s="109" t="s">
        <v>18</v>
      </c>
      <c r="AB27" s="251" t="s">
        <v>18</v>
      </c>
      <c r="AC27" s="251"/>
      <c r="AD27" s="251"/>
      <c r="AE27" s="248"/>
      <c r="AF27" s="248"/>
      <c r="AG27" s="215">
        <f t="shared" si="0"/>
        <v>0</v>
      </c>
      <c r="AH27" s="479"/>
    </row>
    <row r="28" spans="1:34" ht="28.9" thickBot="1">
      <c r="A28" s="146" t="s">
        <v>33</v>
      </c>
      <c r="B28" s="255"/>
      <c r="C28" s="246">
        <v>15</v>
      </c>
      <c r="D28" s="246">
        <v>15</v>
      </c>
      <c r="E28" s="108">
        <v>0.5</v>
      </c>
      <c r="F28" s="108"/>
      <c r="G28" s="246"/>
      <c r="H28" s="246"/>
      <c r="I28" s="246">
        <v>15</v>
      </c>
      <c r="J28" s="376">
        <v>15</v>
      </c>
      <c r="K28" s="246">
        <v>0.5</v>
      </c>
      <c r="L28" s="108"/>
      <c r="M28" s="109"/>
      <c r="N28" s="246"/>
      <c r="O28" s="246">
        <v>15</v>
      </c>
      <c r="P28" s="246">
        <v>15</v>
      </c>
      <c r="Q28" s="246">
        <v>0.5</v>
      </c>
      <c r="R28" s="246"/>
      <c r="S28" s="108"/>
      <c r="T28" s="107"/>
      <c r="U28" s="246">
        <v>15</v>
      </c>
      <c r="V28" s="246">
        <v>15</v>
      </c>
      <c r="W28" s="246">
        <v>0.5</v>
      </c>
      <c r="X28" s="376">
        <v>4</v>
      </c>
      <c r="Y28" s="246"/>
      <c r="Z28" s="108"/>
      <c r="AA28" s="109">
        <v>15</v>
      </c>
      <c r="AB28" s="246">
        <v>15</v>
      </c>
      <c r="AC28" s="246">
        <v>0.5</v>
      </c>
      <c r="AD28" s="246"/>
      <c r="AE28" s="248"/>
      <c r="AF28" s="248"/>
      <c r="AG28" s="496">
        <f t="shared" si="0"/>
        <v>156.5</v>
      </c>
      <c r="AH28" s="480">
        <f>SUM(AG28-AG61)</f>
        <v>-9</v>
      </c>
    </row>
    <row r="29" spans="1:34" ht="29.45" thickBot="1">
      <c r="A29" s="188" t="s">
        <v>34</v>
      </c>
      <c r="B29" s="226"/>
      <c r="C29" s="227">
        <v>1</v>
      </c>
      <c r="D29" s="227">
        <v>1</v>
      </c>
      <c r="E29" s="133"/>
      <c r="F29" s="133"/>
      <c r="G29" s="227"/>
      <c r="H29" s="227"/>
      <c r="I29" s="227">
        <v>1</v>
      </c>
      <c r="J29" s="373">
        <v>1</v>
      </c>
      <c r="K29" s="227"/>
      <c r="L29" s="133"/>
      <c r="M29" s="134"/>
      <c r="N29" s="227"/>
      <c r="O29" s="229">
        <v>1</v>
      </c>
      <c r="P29" s="227">
        <v>1</v>
      </c>
      <c r="Q29" s="227"/>
      <c r="R29" s="227"/>
      <c r="S29" s="133"/>
      <c r="T29" s="134"/>
      <c r="U29" s="227">
        <v>1</v>
      </c>
      <c r="V29" s="227">
        <v>1</v>
      </c>
      <c r="W29" s="227"/>
      <c r="X29" s="373"/>
      <c r="Y29" s="227"/>
      <c r="Z29" s="133"/>
      <c r="AA29" s="148">
        <v>1</v>
      </c>
      <c r="AB29" s="227">
        <v>1</v>
      </c>
      <c r="AC29" s="227"/>
      <c r="AD29" s="227"/>
      <c r="AE29" s="228"/>
      <c r="AF29" s="228"/>
      <c r="AG29" s="497">
        <f t="shared" si="0"/>
        <v>10</v>
      </c>
      <c r="AH29" s="483"/>
    </row>
    <row r="30" spans="1:34" ht="28.9" thickBot="1">
      <c r="A30" s="173" t="s">
        <v>74</v>
      </c>
      <c r="B30" s="218" t="s">
        <v>18</v>
      </c>
      <c r="C30" s="219"/>
      <c r="D30" s="219"/>
      <c r="E30" s="130"/>
      <c r="F30" s="114"/>
      <c r="G30" s="219" t="s">
        <v>18</v>
      </c>
      <c r="H30" s="219" t="s">
        <v>18</v>
      </c>
      <c r="I30" s="219"/>
      <c r="J30" s="371"/>
      <c r="K30" s="222"/>
      <c r="L30" s="105"/>
      <c r="M30" s="106" t="s">
        <v>18</v>
      </c>
      <c r="N30" s="222" t="s">
        <v>18</v>
      </c>
      <c r="O30" s="222"/>
      <c r="P30" s="253"/>
      <c r="Q30" s="222"/>
      <c r="R30" s="222"/>
      <c r="S30" s="114" t="s">
        <v>18</v>
      </c>
      <c r="T30" s="118" t="s">
        <v>18</v>
      </c>
      <c r="U30" s="219"/>
      <c r="V30" s="219"/>
      <c r="W30" s="295"/>
      <c r="X30" s="410"/>
      <c r="Y30" s="219" t="s">
        <v>18</v>
      </c>
      <c r="Z30" s="118" t="s">
        <v>18</v>
      </c>
      <c r="AA30" s="114"/>
      <c r="AB30" s="219"/>
      <c r="AC30" s="296"/>
      <c r="AD30" s="219"/>
      <c r="AE30" s="295" t="s">
        <v>18</v>
      </c>
      <c r="AF30" s="295" t="s">
        <v>18</v>
      </c>
      <c r="AG30" s="215">
        <f t="shared" si="0"/>
        <v>0</v>
      </c>
      <c r="AH30" s="479"/>
    </row>
    <row r="31" spans="1:34" ht="28.9" thickBot="1">
      <c r="A31" s="146" t="s">
        <v>36</v>
      </c>
      <c r="B31" s="223">
        <v>15</v>
      </c>
      <c r="C31" s="224">
        <v>0.5</v>
      </c>
      <c r="D31" s="224"/>
      <c r="E31" s="115"/>
      <c r="F31" s="103"/>
      <c r="G31" s="224">
        <v>15</v>
      </c>
      <c r="H31" s="224">
        <v>15</v>
      </c>
      <c r="I31" s="224">
        <v>0.5</v>
      </c>
      <c r="J31" s="372">
        <v>4</v>
      </c>
      <c r="K31" s="224"/>
      <c r="L31" s="103"/>
      <c r="M31" s="103">
        <v>15</v>
      </c>
      <c r="N31" s="224">
        <v>15</v>
      </c>
      <c r="O31" s="224">
        <v>0.5</v>
      </c>
      <c r="P31" s="224"/>
      <c r="Q31" s="224"/>
      <c r="R31" s="224"/>
      <c r="S31" s="103">
        <v>15</v>
      </c>
      <c r="T31" s="103">
        <v>15</v>
      </c>
      <c r="U31" s="224">
        <v>0.5</v>
      </c>
      <c r="V31" s="224"/>
      <c r="W31" s="224"/>
      <c r="X31" s="372">
        <v>4</v>
      </c>
      <c r="Y31" s="224">
        <v>15</v>
      </c>
      <c r="Z31" s="103">
        <v>15</v>
      </c>
      <c r="AA31" s="103">
        <v>0.5</v>
      </c>
      <c r="AB31" s="224"/>
      <c r="AC31" s="224"/>
      <c r="AD31" s="224"/>
      <c r="AE31" s="224">
        <v>15</v>
      </c>
      <c r="AF31" s="294">
        <v>15</v>
      </c>
      <c r="AG31" s="496">
        <f t="shared" si="0"/>
        <v>175.5</v>
      </c>
      <c r="AH31" s="480">
        <f>SUM(AG31-AG61)</f>
        <v>10</v>
      </c>
    </row>
    <row r="32" spans="1:34" ht="25.9" customHeight="1" thickBot="1">
      <c r="A32" s="187" t="s">
        <v>34</v>
      </c>
      <c r="B32" s="226">
        <v>1</v>
      </c>
      <c r="C32" s="227"/>
      <c r="D32" s="227"/>
      <c r="E32" s="135"/>
      <c r="F32" s="133"/>
      <c r="G32" s="227">
        <v>1</v>
      </c>
      <c r="H32" s="227">
        <v>1</v>
      </c>
      <c r="I32" s="227"/>
      <c r="J32" s="373"/>
      <c r="K32" s="229"/>
      <c r="L32" s="133"/>
      <c r="M32" s="134">
        <v>1</v>
      </c>
      <c r="N32" s="227">
        <v>1</v>
      </c>
      <c r="O32" s="229"/>
      <c r="P32" s="227"/>
      <c r="Q32" s="229"/>
      <c r="R32" s="227"/>
      <c r="S32" s="133">
        <v>1</v>
      </c>
      <c r="T32" s="134">
        <v>1</v>
      </c>
      <c r="U32" s="227"/>
      <c r="V32" s="227"/>
      <c r="W32" s="228"/>
      <c r="X32" s="380"/>
      <c r="Y32" s="227">
        <v>1</v>
      </c>
      <c r="Z32" s="134">
        <v>1</v>
      </c>
      <c r="AA32" s="133"/>
      <c r="AB32" s="227"/>
      <c r="AC32" s="229"/>
      <c r="AD32" s="227"/>
      <c r="AE32" s="228">
        <v>1</v>
      </c>
      <c r="AF32" s="228">
        <v>1</v>
      </c>
      <c r="AG32" s="320">
        <f t="shared" si="0"/>
        <v>11</v>
      </c>
      <c r="AH32" s="481"/>
    </row>
    <row r="33" spans="1:35" ht="28.9" thickBot="1">
      <c r="A33" s="173" t="s">
        <v>37</v>
      </c>
      <c r="B33" s="249"/>
      <c r="C33" s="251"/>
      <c r="D33" s="251"/>
      <c r="E33" s="105"/>
      <c r="F33" s="111"/>
      <c r="G33" s="251"/>
      <c r="H33" s="251"/>
      <c r="I33" s="251"/>
      <c r="J33" s="251"/>
      <c r="K33" s="251"/>
      <c r="L33" s="111"/>
      <c r="M33" s="106"/>
      <c r="N33" s="251"/>
      <c r="O33" s="251"/>
      <c r="P33" s="222"/>
      <c r="Q33" s="222"/>
      <c r="R33" s="253"/>
      <c r="S33" s="105"/>
      <c r="T33" s="105"/>
      <c r="U33" s="222"/>
      <c r="V33" s="222"/>
      <c r="W33" s="222"/>
      <c r="X33" s="253"/>
      <c r="Y33" s="222"/>
      <c r="Z33" s="106"/>
      <c r="AA33" s="106"/>
      <c r="AB33" s="222"/>
      <c r="AC33" s="222"/>
      <c r="AD33" s="222"/>
      <c r="AE33" s="253"/>
      <c r="AF33" s="253"/>
      <c r="AG33" s="215">
        <v>0</v>
      </c>
      <c r="AH33" s="477"/>
    </row>
    <row r="34" spans="1:35" ht="28.9" thickBot="1">
      <c r="A34" s="146" t="s">
        <v>38</v>
      </c>
      <c r="B34" s="255"/>
      <c r="C34" s="246"/>
      <c r="D34" s="246"/>
      <c r="E34" s="108"/>
      <c r="F34" s="107"/>
      <c r="G34" s="246"/>
      <c r="H34" s="246"/>
      <c r="I34" s="248"/>
      <c r="J34" s="246"/>
      <c r="K34" s="246"/>
      <c r="L34" s="107"/>
      <c r="M34" s="109"/>
      <c r="N34" s="246"/>
      <c r="O34" s="248"/>
      <c r="P34" s="246"/>
      <c r="Q34" s="246"/>
      <c r="R34" s="248"/>
      <c r="S34" s="108"/>
      <c r="T34" s="108"/>
      <c r="U34" s="246"/>
      <c r="V34" s="246"/>
      <c r="W34" s="246"/>
      <c r="X34" s="248"/>
      <c r="Y34" s="246"/>
      <c r="Z34" s="109"/>
      <c r="AA34" s="109"/>
      <c r="AB34" s="246"/>
      <c r="AC34" s="246"/>
      <c r="AD34" s="246"/>
      <c r="AE34" s="248"/>
      <c r="AF34" s="248"/>
      <c r="AG34" s="496">
        <f>SUM(B34:AF34)</f>
        <v>0</v>
      </c>
      <c r="AH34" s="484"/>
    </row>
    <row r="35" spans="1:35" ht="28.9" thickBot="1">
      <c r="A35" s="187" t="s">
        <v>39</v>
      </c>
      <c r="B35" s="226"/>
      <c r="C35" s="227"/>
      <c r="D35" s="227"/>
      <c r="E35" s="133"/>
      <c r="F35" s="133"/>
      <c r="G35" s="227"/>
      <c r="H35" s="227"/>
      <c r="I35" s="227"/>
      <c r="J35" s="227"/>
      <c r="K35" s="227"/>
      <c r="L35" s="133"/>
      <c r="M35" s="136"/>
      <c r="N35" s="227"/>
      <c r="O35" s="227"/>
      <c r="P35" s="227"/>
      <c r="Q35" s="229"/>
      <c r="R35" s="227"/>
      <c r="S35" s="133"/>
      <c r="T35" s="133"/>
      <c r="U35" s="227"/>
      <c r="V35" s="227"/>
      <c r="W35" s="227"/>
      <c r="X35" s="229"/>
      <c r="Y35" s="227"/>
      <c r="Z35" s="133"/>
      <c r="AA35" s="136"/>
      <c r="AB35" s="227"/>
      <c r="AC35" s="227"/>
      <c r="AD35" s="227"/>
      <c r="AE35" s="227"/>
      <c r="AF35" s="227"/>
      <c r="AG35" s="497">
        <f>SUM(B35:AF35)</f>
        <v>0</v>
      </c>
      <c r="AH35" s="478"/>
    </row>
    <row r="36" spans="1:35" ht="28.9" thickBot="1">
      <c r="A36" s="465"/>
      <c r="B36" s="249"/>
      <c r="C36" s="251"/>
      <c r="D36" s="251"/>
      <c r="E36" s="105"/>
      <c r="F36" s="111"/>
      <c r="G36" s="251"/>
      <c r="H36" s="251"/>
      <c r="I36" s="251"/>
      <c r="J36" s="251"/>
      <c r="K36" s="251"/>
      <c r="L36" s="111"/>
      <c r="M36" s="106"/>
      <c r="N36" s="251"/>
      <c r="O36" s="251"/>
      <c r="P36" s="222"/>
      <c r="Q36" s="222"/>
      <c r="R36" s="253"/>
      <c r="S36" s="105"/>
      <c r="T36" s="105"/>
      <c r="U36" s="222"/>
      <c r="V36" s="222"/>
      <c r="W36" s="222"/>
      <c r="X36" s="253"/>
      <c r="Y36" s="222"/>
      <c r="Z36" s="106"/>
      <c r="AA36" s="106"/>
      <c r="AB36" s="222"/>
      <c r="AC36" s="222"/>
      <c r="AD36" s="222"/>
      <c r="AE36" s="253"/>
      <c r="AF36" s="253"/>
      <c r="AG36" s="215">
        <v>0</v>
      </c>
      <c r="AH36" s="477"/>
    </row>
    <row r="37" spans="1:35" ht="28.9" thickBot="1">
      <c r="A37" s="146"/>
      <c r="B37" s="255"/>
      <c r="C37" s="246"/>
      <c r="D37" s="246"/>
      <c r="E37" s="108"/>
      <c r="F37" s="107"/>
      <c r="G37" s="246"/>
      <c r="H37" s="246"/>
      <c r="I37" s="248"/>
      <c r="J37" s="246"/>
      <c r="K37" s="246"/>
      <c r="L37" s="107"/>
      <c r="M37" s="109"/>
      <c r="N37" s="246"/>
      <c r="O37" s="248"/>
      <c r="P37" s="246"/>
      <c r="Q37" s="246"/>
      <c r="R37" s="248"/>
      <c r="S37" s="108"/>
      <c r="T37" s="108"/>
      <c r="U37" s="246"/>
      <c r="V37" s="246"/>
      <c r="W37" s="246"/>
      <c r="X37" s="248"/>
      <c r="Y37" s="246"/>
      <c r="Z37" s="109"/>
      <c r="AA37" s="109"/>
      <c r="AB37" s="246"/>
      <c r="AC37" s="246"/>
      <c r="AD37" s="246"/>
      <c r="AE37" s="248"/>
      <c r="AF37" s="248"/>
      <c r="AG37" s="496">
        <f>SUM(B37:AF37)</f>
        <v>0</v>
      </c>
      <c r="AH37" s="484"/>
    </row>
    <row r="38" spans="1:35" ht="28.9" thickBot="1">
      <c r="A38" s="188"/>
      <c r="B38" s="226"/>
      <c r="C38" s="227"/>
      <c r="D38" s="227"/>
      <c r="E38" s="133"/>
      <c r="F38" s="133"/>
      <c r="G38" s="227"/>
      <c r="H38" s="227"/>
      <c r="I38" s="227"/>
      <c r="J38" s="227"/>
      <c r="K38" s="227"/>
      <c r="L38" s="133"/>
      <c r="M38" s="136"/>
      <c r="N38" s="227"/>
      <c r="O38" s="227"/>
      <c r="P38" s="227"/>
      <c r="Q38" s="229"/>
      <c r="R38" s="227"/>
      <c r="S38" s="133"/>
      <c r="T38" s="133"/>
      <c r="U38" s="227"/>
      <c r="V38" s="227"/>
      <c r="W38" s="227"/>
      <c r="X38" s="229"/>
      <c r="Y38" s="227"/>
      <c r="Z38" s="133"/>
      <c r="AA38" s="136"/>
      <c r="AB38" s="227"/>
      <c r="AC38" s="227"/>
      <c r="AD38" s="227"/>
      <c r="AE38" s="227"/>
      <c r="AF38" s="227"/>
      <c r="AG38" s="497">
        <f>SUM(B38:AF38)</f>
        <v>0</v>
      </c>
      <c r="AH38" s="478"/>
    </row>
    <row r="39" spans="1:35" ht="29.45" thickBot="1">
      <c r="A39" s="173"/>
      <c r="B39" s="249"/>
      <c r="C39" s="251"/>
      <c r="D39" s="251"/>
      <c r="E39" s="105"/>
      <c r="F39" s="111"/>
      <c r="G39" s="251"/>
      <c r="H39" s="251"/>
      <c r="I39" s="251"/>
      <c r="J39" s="251"/>
      <c r="K39" s="251"/>
      <c r="L39" s="111"/>
      <c r="M39" s="106"/>
      <c r="N39" s="251"/>
      <c r="O39" s="251"/>
      <c r="P39" s="222"/>
      <c r="Q39" s="222"/>
      <c r="R39" s="253"/>
      <c r="S39" s="105"/>
      <c r="T39" s="105"/>
      <c r="U39" s="222"/>
      <c r="V39" s="222"/>
      <c r="W39" s="222"/>
      <c r="X39" s="253"/>
      <c r="Y39" s="222"/>
      <c r="Z39" s="106"/>
      <c r="AA39" s="106"/>
      <c r="AB39" s="222"/>
      <c r="AC39" s="222"/>
      <c r="AD39" s="222"/>
      <c r="AE39" s="253"/>
      <c r="AF39" s="253"/>
      <c r="AG39" s="215">
        <v>0</v>
      </c>
      <c r="AH39" s="6"/>
    </row>
    <row r="40" spans="1:35" ht="29.45" thickBot="1">
      <c r="A40" s="146"/>
      <c r="B40" s="255"/>
      <c r="C40" s="246"/>
      <c r="D40" s="246"/>
      <c r="E40" s="108"/>
      <c r="F40" s="107"/>
      <c r="G40" s="246"/>
      <c r="H40" s="246"/>
      <c r="I40" s="248"/>
      <c r="J40" s="246"/>
      <c r="K40" s="246"/>
      <c r="L40" s="107"/>
      <c r="M40" s="109"/>
      <c r="N40" s="246"/>
      <c r="O40" s="248"/>
      <c r="P40" s="246"/>
      <c r="Q40" s="246"/>
      <c r="R40" s="248"/>
      <c r="S40" s="108"/>
      <c r="T40" s="108"/>
      <c r="U40" s="246"/>
      <c r="V40" s="246"/>
      <c r="W40" s="246"/>
      <c r="X40" s="248"/>
      <c r="Y40" s="246"/>
      <c r="Z40" s="109"/>
      <c r="AA40" s="109"/>
      <c r="AB40" s="246"/>
      <c r="AC40" s="246"/>
      <c r="AD40" s="246"/>
      <c r="AE40" s="248"/>
      <c r="AF40" s="248"/>
      <c r="AG40" s="496">
        <f>SUM(B40:AF40)</f>
        <v>0</v>
      </c>
      <c r="AH40" s="6"/>
      <c r="AI40" s="152"/>
    </row>
    <row r="41" spans="1:35" ht="29.45" thickBot="1">
      <c r="A41" s="190"/>
      <c r="B41" s="226"/>
      <c r="C41" s="227"/>
      <c r="D41" s="227"/>
      <c r="E41" s="133"/>
      <c r="F41" s="133"/>
      <c r="G41" s="227"/>
      <c r="H41" s="227"/>
      <c r="I41" s="227"/>
      <c r="J41" s="227"/>
      <c r="K41" s="227"/>
      <c r="L41" s="133"/>
      <c r="M41" s="136"/>
      <c r="N41" s="227"/>
      <c r="O41" s="227"/>
      <c r="P41" s="227"/>
      <c r="Q41" s="229"/>
      <c r="R41" s="227"/>
      <c r="S41" s="133"/>
      <c r="T41" s="133"/>
      <c r="U41" s="227"/>
      <c r="V41" s="227"/>
      <c r="W41" s="227"/>
      <c r="X41" s="229"/>
      <c r="Y41" s="227"/>
      <c r="Z41" s="133"/>
      <c r="AA41" s="136"/>
      <c r="AB41" s="227"/>
      <c r="AC41" s="227"/>
      <c r="AD41" s="227"/>
      <c r="AE41" s="227"/>
      <c r="AF41" s="227"/>
      <c r="AG41" s="497">
        <f>SUM(B41:AF41)</f>
        <v>0</v>
      </c>
      <c r="AH41" s="6"/>
      <c r="AI41" s="152"/>
    </row>
    <row r="42" spans="1:35" ht="29.45" thickBot="1">
      <c r="A42" s="173"/>
      <c r="B42" s="249"/>
      <c r="C42" s="251"/>
      <c r="D42" s="251"/>
      <c r="E42" s="105"/>
      <c r="F42" s="111"/>
      <c r="G42" s="251"/>
      <c r="H42" s="251"/>
      <c r="I42" s="251"/>
      <c r="J42" s="251"/>
      <c r="K42" s="251"/>
      <c r="L42" s="111"/>
      <c r="M42" s="106"/>
      <c r="N42" s="251"/>
      <c r="O42" s="251"/>
      <c r="P42" s="222"/>
      <c r="Q42" s="222"/>
      <c r="R42" s="253"/>
      <c r="S42" s="105"/>
      <c r="T42" s="105"/>
      <c r="U42" s="222"/>
      <c r="V42" s="222"/>
      <c r="W42" s="222"/>
      <c r="X42" s="253"/>
      <c r="Y42" s="222"/>
      <c r="Z42" s="106"/>
      <c r="AA42" s="106"/>
      <c r="AB42" s="222"/>
      <c r="AC42" s="222"/>
      <c r="AD42" s="222"/>
      <c r="AE42" s="253"/>
      <c r="AF42" s="253"/>
      <c r="AG42" s="215">
        <v>0</v>
      </c>
      <c r="AH42" s="6"/>
      <c r="AI42" s="152"/>
    </row>
    <row r="43" spans="1:35" ht="29.45" thickBot="1">
      <c r="A43" s="146"/>
      <c r="B43" s="255"/>
      <c r="C43" s="246"/>
      <c r="D43" s="246"/>
      <c r="E43" s="108"/>
      <c r="F43" s="107"/>
      <c r="G43" s="246"/>
      <c r="H43" s="246"/>
      <c r="I43" s="248"/>
      <c r="J43" s="246"/>
      <c r="K43" s="246"/>
      <c r="L43" s="107"/>
      <c r="M43" s="109"/>
      <c r="N43" s="246"/>
      <c r="O43" s="248"/>
      <c r="P43" s="246"/>
      <c r="Q43" s="246"/>
      <c r="R43" s="248"/>
      <c r="S43" s="108"/>
      <c r="T43" s="108"/>
      <c r="U43" s="246"/>
      <c r="V43" s="246"/>
      <c r="W43" s="246"/>
      <c r="X43" s="248"/>
      <c r="Y43" s="246"/>
      <c r="Z43" s="109"/>
      <c r="AA43" s="109"/>
      <c r="AB43" s="246"/>
      <c r="AC43" s="246"/>
      <c r="AD43" s="246"/>
      <c r="AE43" s="248"/>
      <c r="AF43" s="248"/>
      <c r="AG43" s="496">
        <f>SUM(B43:AF43)</f>
        <v>0</v>
      </c>
      <c r="AH43" s="6"/>
    </row>
    <row r="44" spans="1:35" ht="28.9" customHeight="1" thickBot="1">
      <c r="A44" s="190"/>
      <c r="B44" s="226"/>
      <c r="C44" s="227"/>
      <c r="D44" s="227"/>
      <c r="E44" s="133"/>
      <c r="F44" s="133"/>
      <c r="G44" s="227"/>
      <c r="H44" s="227"/>
      <c r="I44" s="227"/>
      <c r="J44" s="227"/>
      <c r="K44" s="227"/>
      <c r="L44" s="133"/>
      <c r="M44" s="136"/>
      <c r="N44" s="227"/>
      <c r="O44" s="227"/>
      <c r="P44" s="227"/>
      <c r="Q44" s="229"/>
      <c r="R44" s="227"/>
      <c r="S44" s="133"/>
      <c r="T44" s="133"/>
      <c r="U44" s="227"/>
      <c r="V44" s="227"/>
      <c r="W44" s="227"/>
      <c r="X44" s="229"/>
      <c r="Y44" s="227"/>
      <c r="Z44" s="133"/>
      <c r="AA44" s="136"/>
      <c r="AB44" s="227"/>
      <c r="AC44" s="227"/>
      <c r="AD44" s="227"/>
      <c r="AE44" s="227"/>
      <c r="AF44" s="227"/>
      <c r="AG44" s="497">
        <f>SUM(B44:AF44)</f>
        <v>0</v>
      </c>
      <c r="AH44" s="6"/>
    </row>
    <row r="45" spans="1:35" ht="29.45" thickBot="1">
      <c r="A45" s="173"/>
      <c r="B45" s="249"/>
      <c r="C45" s="251"/>
      <c r="D45" s="251"/>
      <c r="E45" s="105"/>
      <c r="F45" s="111"/>
      <c r="G45" s="251"/>
      <c r="H45" s="251"/>
      <c r="I45" s="251"/>
      <c r="J45" s="251"/>
      <c r="K45" s="251"/>
      <c r="L45" s="111"/>
      <c r="M45" s="106"/>
      <c r="N45" s="251"/>
      <c r="O45" s="251"/>
      <c r="P45" s="222"/>
      <c r="Q45" s="222"/>
      <c r="R45" s="253"/>
      <c r="S45" s="105"/>
      <c r="T45" s="105"/>
      <c r="U45" s="222"/>
      <c r="V45" s="222"/>
      <c r="W45" s="222"/>
      <c r="X45" s="253"/>
      <c r="Y45" s="222"/>
      <c r="Z45" s="106"/>
      <c r="AA45" s="106"/>
      <c r="AB45" s="222"/>
      <c r="AC45" s="222"/>
      <c r="AD45" s="222"/>
      <c r="AE45" s="253"/>
      <c r="AF45" s="253"/>
      <c r="AG45" s="215">
        <v>0</v>
      </c>
      <c r="AH45" s="6"/>
    </row>
    <row r="46" spans="1:35" ht="29.45" thickBot="1">
      <c r="A46" s="146"/>
      <c r="B46" s="255"/>
      <c r="C46" s="246"/>
      <c r="D46" s="246"/>
      <c r="E46" s="108"/>
      <c r="F46" s="107"/>
      <c r="G46" s="246"/>
      <c r="H46" s="246"/>
      <c r="I46" s="248"/>
      <c r="J46" s="246"/>
      <c r="K46" s="246"/>
      <c r="L46" s="107"/>
      <c r="M46" s="109"/>
      <c r="N46" s="246"/>
      <c r="O46" s="248"/>
      <c r="P46" s="246"/>
      <c r="Q46" s="246"/>
      <c r="R46" s="248"/>
      <c r="S46" s="108"/>
      <c r="T46" s="108"/>
      <c r="U46" s="246"/>
      <c r="V46" s="246"/>
      <c r="W46" s="246"/>
      <c r="X46" s="248"/>
      <c r="Y46" s="246"/>
      <c r="Z46" s="109"/>
      <c r="AA46" s="109"/>
      <c r="AB46" s="246"/>
      <c r="AC46" s="246"/>
      <c r="AD46" s="246"/>
      <c r="AE46" s="248"/>
      <c r="AF46" s="248"/>
      <c r="AG46" s="496">
        <f>SUM(B46:AF46)</f>
        <v>0</v>
      </c>
      <c r="AH46" s="6"/>
    </row>
    <row r="47" spans="1:35" ht="29.45" thickBot="1">
      <c r="A47" s="190"/>
      <c r="B47" s="226"/>
      <c r="C47" s="227"/>
      <c r="D47" s="227"/>
      <c r="E47" s="133"/>
      <c r="F47" s="133"/>
      <c r="G47" s="227"/>
      <c r="H47" s="227"/>
      <c r="I47" s="227"/>
      <c r="J47" s="227"/>
      <c r="K47" s="227"/>
      <c r="L47" s="133"/>
      <c r="M47" s="136"/>
      <c r="N47" s="227"/>
      <c r="O47" s="227"/>
      <c r="P47" s="227"/>
      <c r="Q47" s="229"/>
      <c r="R47" s="227"/>
      <c r="S47" s="133"/>
      <c r="T47" s="133"/>
      <c r="U47" s="227"/>
      <c r="V47" s="227"/>
      <c r="W47" s="227"/>
      <c r="X47" s="229"/>
      <c r="Y47" s="227"/>
      <c r="Z47" s="133"/>
      <c r="AA47" s="136"/>
      <c r="AB47" s="227"/>
      <c r="AC47" s="227"/>
      <c r="AD47" s="227"/>
      <c r="AE47" s="227"/>
      <c r="AF47" s="227"/>
      <c r="AG47" s="497">
        <f>SUM(B47:AF47)</f>
        <v>0</v>
      </c>
      <c r="AH47" s="6"/>
    </row>
    <row r="48" spans="1:35" ht="29.45" hidden="1" thickBot="1">
      <c r="A48" s="173"/>
      <c r="B48" s="249"/>
      <c r="C48" s="251"/>
      <c r="D48" s="251"/>
      <c r="E48" s="105"/>
      <c r="F48" s="111"/>
      <c r="G48" s="251"/>
      <c r="H48" s="251"/>
      <c r="I48" s="251"/>
      <c r="J48" s="251"/>
      <c r="K48" s="251"/>
      <c r="L48" s="111"/>
      <c r="M48" s="106"/>
      <c r="N48" s="251"/>
      <c r="O48" s="251"/>
      <c r="P48" s="222"/>
      <c r="Q48" s="222"/>
      <c r="R48" s="253"/>
      <c r="S48" s="105"/>
      <c r="T48" s="105"/>
      <c r="U48" s="222"/>
      <c r="V48" s="222"/>
      <c r="W48" s="222"/>
      <c r="X48" s="253"/>
      <c r="Y48" s="222"/>
      <c r="Z48" s="106"/>
      <c r="AA48" s="106"/>
      <c r="AB48" s="222"/>
      <c r="AC48" s="222"/>
      <c r="AD48" s="222"/>
      <c r="AE48" s="253"/>
      <c r="AF48" s="253"/>
      <c r="AG48" s="215">
        <v>0</v>
      </c>
      <c r="AH48" s="6"/>
    </row>
    <row r="49" spans="1:34" ht="29.45" hidden="1" thickBot="1">
      <c r="A49" s="146"/>
      <c r="B49" s="255"/>
      <c r="C49" s="246"/>
      <c r="D49" s="246"/>
      <c r="E49" s="108"/>
      <c r="F49" s="107"/>
      <c r="G49" s="246"/>
      <c r="H49" s="246"/>
      <c r="I49" s="248"/>
      <c r="J49" s="246"/>
      <c r="K49" s="246"/>
      <c r="L49" s="107"/>
      <c r="M49" s="109"/>
      <c r="N49" s="246"/>
      <c r="O49" s="248"/>
      <c r="P49" s="246"/>
      <c r="Q49" s="246"/>
      <c r="R49" s="248"/>
      <c r="S49" s="108"/>
      <c r="T49" s="108"/>
      <c r="U49" s="246"/>
      <c r="V49" s="246"/>
      <c r="W49" s="246"/>
      <c r="X49" s="248"/>
      <c r="Y49" s="246"/>
      <c r="Z49" s="109"/>
      <c r="AA49" s="109"/>
      <c r="AB49" s="246"/>
      <c r="AC49" s="246"/>
      <c r="AD49" s="246"/>
      <c r="AE49" s="248"/>
      <c r="AF49" s="248"/>
      <c r="AG49" s="496">
        <f>SUM(B49:AF49)</f>
        <v>0</v>
      </c>
      <c r="AH49" s="6"/>
    </row>
    <row r="50" spans="1:34" ht="28.9" hidden="1" thickBot="1">
      <c r="A50" s="190"/>
      <c r="B50" s="226"/>
      <c r="C50" s="227"/>
      <c r="D50" s="227"/>
      <c r="E50" s="133"/>
      <c r="F50" s="133"/>
      <c r="G50" s="227"/>
      <c r="H50" s="227"/>
      <c r="I50" s="227"/>
      <c r="J50" s="227"/>
      <c r="K50" s="227"/>
      <c r="L50" s="133"/>
      <c r="M50" s="136"/>
      <c r="N50" s="227"/>
      <c r="O50" s="227"/>
      <c r="P50" s="227"/>
      <c r="Q50" s="229"/>
      <c r="R50" s="227"/>
      <c r="S50" s="133"/>
      <c r="T50" s="133"/>
      <c r="U50" s="227"/>
      <c r="V50" s="227"/>
      <c r="W50" s="227"/>
      <c r="X50" s="229"/>
      <c r="Y50" s="227"/>
      <c r="Z50" s="133"/>
      <c r="AA50" s="136"/>
      <c r="AB50" s="227"/>
      <c r="AC50" s="227"/>
      <c r="AD50" s="227"/>
      <c r="AE50" s="227"/>
      <c r="AF50" s="227"/>
      <c r="AG50" s="497">
        <f>SUM(B50:AF50)</f>
        <v>0</v>
      </c>
    </row>
    <row r="51" spans="1:34" ht="28.9" hidden="1" thickBot="1">
      <c r="A51" s="173"/>
      <c r="B51" s="249"/>
      <c r="C51" s="251"/>
      <c r="D51" s="251"/>
      <c r="E51" s="105"/>
      <c r="F51" s="111"/>
      <c r="G51" s="251"/>
      <c r="H51" s="251"/>
      <c r="I51" s="251"/>
      <c r="J51" s="251"/>
      <c r="K51" s="251"/>
      <c r="L51" s="111"/>
      <c r="M51" s="106"/>
      <c r="N51" s="251"/>
      <c r="O51" s="251"/>
      <c r="P51" s="222"/>
      <c r="Q51" s="222"/>
      <c r="R51" s="253"/>
      <c r="S51" s="105"/>
      <c r="T51" s="105"/>
      <c r="U51" s="222"/>
      <c r="V51" s="222"/>
      <c r="W51" s="222"/>
      <c r="X51" s="253"/>
      <c r="Y51" s="222"/>
      <c r="Z51" s="106"/>
      <c r="AA51" s="106"/>
      <c r="AB51" s="222"/>
      <c r="AC51" s="222"/>
      <c r="AD51" s="222"/>
      <c r="AE51" s="253"/>
      <c r="AF51" s="253"/>
      <c r="AG51" s="215">
        <v>0</v>
      </c>
    </row>
    <row r="52" spans="1:34" ht="28.9" hidden="1" thickBot="1">
      <c r="A52" s="146"/>
      <c r="B52" s="255"/>
      <c r="C52" s="246"/>
      <c r="D52" s="246"/>
      <c r="E52" s="108"/>
      <c r="F52" s="107"/>
      <c r="G52" s="246"/>
      <c r="H52" s="246"/>
      <c r="I52" s="248"/>
      <c r="J52" s="246"/>
      <c r="K52" s="246"/>
      <c r="L52" s="107"/>
      <c r="M52" s="109"/>
      <c r="N52" s="246"/>
      <c r="O52" s="248"/>
      <c r="P52" s="246"/>
      <c r="Q52" s="246"/>
      <c r="R52" s="248"/>
      <c r="S52" s="108"/>
      <c r="T52" s="108"/>
      <c r="U52" s="246"/>
      <c r="V52" s="246"/>
      <c r="W52" s="246"/>
      <c r="X52" s="248"/>
      <c r="Y52" s="246"/>
      <c r="Z52" s="109"/>
      <c r="AA52" s="109"/>
      <c r="AB52" s="246"/>
      <c r="AC52" s="246"/>
      <c r="AD52" s="246"/>
      <c r="AE52" s="248"/>
      <c r="AF52" s="248"/>
      <c r="AG52" s="496">
        <f>SUM(B52:AF52)</f>
        <v>0</v>
      </c>
    </row>
    <row r="53" spans="1:34" ht="28.9" hidden="1" thickBot="1">
      <c r="A53" s="190"/>
      <c r="B53" s="226"/>
      <c r="C53" s="227"/>
      <c r="D53" s="227"/>
      <c r="E53" s="133"/>
      <c r="F53" s="133"/>
      <c r="G53" s="227"/>
      <c r="H53" s="227"/>
      <c r="I53" s="227"/>
      <c r="J53" s="227"/>
      <c r="K53" s="227"/>
      <c r="L53" s="133"/>
      <c r="M53" s="136"/>
      <c r="N53" s="227"/>
      <c r="O53" s="227"/>
      <c r="P53" s="227"/>
      <c r="Q53" s="229"/>
      <c r="R53" s="227"/>
      <c r="S53" s="133"/>
      <c r="T53" s="133"/>
      <c r="U53" s="227"/>
      <c r="V53" s="227"/>
      <c r="W53" s="227"/>
      <c r="X53" s="229"/>
      <c r="Y53" s="227"/>
      <c r="Z53" s="133"/>
      <c r="AA53" s="136"/>
      <c r="AB53" s="227"/>
      <c r="AC53" s="227"/>
      <c r="AD53" s="227"/>
      <c r="AE53" s="227"/>
      <c r="AF53" s="227"/>
      <c r="AG53" s="497">
        <f>SUM(B53:AF53)</f>
        <v>0</v>
      </c>
    </row>
    <row r="54" spans="1:34" ht="28.9" hidden="1" thickBot="1">
      <c r="A54" s="173"/>
      <c r="B54" s="249"/>
      <c r="C54" s="251"/>
      <c r="D54" s="251"/>
      <c r="E54" s="105"/>
      <c r="F54" s="111"/>
      <c r="G54" s="251"/>
      <c r="H54" s="251"/>
      <c r="I54" s="251"/>
      <c r="J54" s="251"/>
      <c r="K54" s="251"/>
      <c r="L54" s="111"/>
      <c r="M54" s="106"/>
      <c r="N54" s="251"/>
      <c r="O54" s="251"/>
      <c r="P54" s="222"/>
      <c r="Q54" s="222"/>
      <c r="R54" s="253"/>
      <c r="S54" s="105"/>
      <c r="T54" s="105"/>
      <c r="U54" s="222"/>
      <c r="V54" s="222"/>
      <c r="W54" s="222"/>
      <c r="X54" s="253"/>
      <c r="Y54" s="222"/>
      <c r="Z54" s="106"/>
      <c r="AA54" s="106"/>
      <c r="AB54" s="222"/>
      <c r="AC54" s="222"/>
      <c r="AD54" s="222"/>
      <c r="AE54" s="253"/>
      <c r="AF54" s="253"/>
      <c r="AG54" s="215">
        <v>0</v>
      </c>
    </row>
    <row r="55" spans="1:34" ht="28.9" hidden="1" thickBot="1">
      <c r="A55" s="146"/>
      <c r="B55" s="255"/>
      <c r="C55" s="246"/>
      <c r="D55" s="246"/>
      <c r="E55" s="108"/>
      <c r="F55" s="107"/>
      <c r="G55" s="246"/>
      <c r="H55" s="246"/>
      <c r="I55" s="248"/>
      <c r="J55" s="246"/>
      <c r="K55" s="246"/>
      <c r="L55" s="107"/>
      <c r="M55" s="109"/>
      <c r="N55" s="246"/>
      <c r="O55" s="248"/>
      <c r="P55" s="246"/>
      <c r="Q55" s="246"/>
      <c r="R55" s="248"/>
      <c r="S55" s="108"/>
      <c r="T55" s="108"/>
      <c r="U55" s="246"/>
      <c r="V55" s="246"/>
      <c r="W55" s="246"/>
      <c r="X55" s="248"/>
      <c r="Y55" s="246"/>
      <c r="Z55" s="109"/>
      <c r="AA55" s="109"/>
      <c r="AB55" s="246"/>
      <c r="AC55" s="246"/>
      <c r="AD55" s="246"/>
      <c r="AE55" s="248"/>
      <c r="AF55" s="248"/>
      <c r="AG55" s="496">
        <f>SUM(B55:AF55)</f>
        <v>0</v>
      </c>
    </row>
    <row r="56" spans="1:34" ht="28.9" hidden="1" thickBot="1">
      <c r="A56" s="190"/>
      <c r="B56" s="226"/>
      <c r="C56" s="227"/>
      <c r="D56" s="227"/>
      <c r="E56" s="133"/>
      <c r="F56" s="133"/>
      <c r="G56" s="227"/>
      <c r="H56" s="227"/>
      <c r="I56" s="227"/>
      <c r="J56" s="227"/>
      <c r="K56" s="227"/>
      <c r="L56" s="133"/>
      <c r="M56" s="136"/>
      <c r="N56" s="227"/>
      <c r="O56" s="227"/>
      <c r="P56" s="227"/>
      <c r="Q56" s="229"/>
      <c r="R56" s="227"/>
      <c r="S56" s="133"/>
      <c r="T56" s="133"/>
      <c r="U56" s="227"/>
      <c r="V56" s="227"/>
      <c r="W56" s="227"/>
      <c r="X56" s="229"/>
      <c r="Y56" s="227"/>
      <c r="Z56" s="133"/>
      <c r="AA56" s="136"/>
      <c r="AB56" s="227"/>
      <c r="AC56" s="227"/>
      <c r="AD56" s="227"/>
      <c r="AE56" s="227"/>
      <c r="AF56" s="227"/>
      <c r="AG56" s="497">
        <f>SUM(B56:AF56)</f>
        <v>0</v>
      </c>
    </row>
    <row r="57" spans="1:34" ht="29.45" hidden="1" thickBot="1">
      <c r="A57" s="173"/>
      <c r="B57" s="266"/>
      <c r="C57" s="222"/>
      <c r="D57" s="222"/>
      <c r="E57" s="111"/>
      <c r="F57" s="105"/>
      <c r="G57" s="222"/>
      <c r="H57" s="222"/>
      <c r="I57" s="222"/>
      <c r="J57" s="222"/>
      <c r="K57" s="222"/>
      <c r="L57" s="105"/>
      <c r="M57" s="106"/>
      <c r="N57" s="222"/>
      <c r="O57" s="254"/>
      <c r="P57" s="222"/>
      <c r="Q57" s="254"/>
      <c r="R57" s="222"/>
      <c r="S57" s="105"/>
      <c r="T57" s="112"/>
      <c r="U57" s="222"/>
      <c r="V57" s="254"/>
      <c r="W57" s="222"/>
      <c r="X57" s="254"/>
      <c r="Y57" s="222"/>
      <c r="Z57" s="105"/>
      <c r="AA57" s="106"/>
      <c r="AB57" s="309"/>
      <c r="AC57" s="222"/>
      <c r="AD57" s="222"/>
      <c r="AE57" s="222"/>
      <c r="AF57" s="222"/>
      <c r="AG57" s="215">
        <f>SUM(B57:AF57)</f>
        <v>0</v>
      </c>
    </row>
    <row r="58" spans="1:34" ht="28.9" hidden="1" thickBot="1">
      <c r="A58" s="189"/>
      <c r="B58" s="259"/>
      <c r="C58" s="232"/>
      <c r="D58" s="232"/>
      <c r="E58" s="149"/>
      <c r="F58" s="137"/>
      <c r="G58" s="232"/>
      <c r="H58" s="232"/>
      <c r="I58" s="232"/>
      <c r="J58" s="232"/>
      <c r="K58" s="232"/>
      <c r="L58" s="137"/>
      <c r="M58" s="138"/>
      <c r="N58" s="232"/>
      <c r="O58" s="232"/>
      <c r="P58" s="232"/>
      <c r="Q58" s="232"/>
      <c r="R58" s="232"/>
      <c r="S58" s="137"/>
      <c r="T58" s="149"/>
      <c r="U58" s="232"/>
      <c r="V58" s="232"/>
      <c r="W58" s="260"/>
      <c r="X58" s="232"/>
      <c r="Y58" s="232"/>
      <c r="Z58" s="137"/>
      <c r="AA58" s="138"/>
      <c r="AB58" s="232"/>
      <c r="AC58" s="232"/>
      <c r="AD58" s="232"/>
      <c r="AE58" s="233"/>
      <c r="AF58" s="321"/>
      <c r="AG58" s="552">
        <f>SUM(B58:AF58)</f>
        <v>0</v>
      </c>
    </row>
    <row r="59" spans="1:34" ht="28.9" hidden="1" thickBot="1">
      <c r="A59" s="150"/>
      <c r="B59" s="255"/>
      <c r="C59" s="246"/>
      <c r="D59" s="246"/>
      <c r="E59" s="107"/>
      <c r="F59" s="108"/>
      <c r="G59" s="246"/>
      <c r="H59" s="246"/>
      <c r="I59" s="246"/>
      <c r="J59" s="246"/>
      <c r="K59" s="246"/>
      <c r="L59" s="107"/>
      <c r="M59" s="113"/>
      <c r="N59" s="246"/>
      <c r="O59" s="252"/>
      <c r="P59" s="246"/>
      <c r="Q59" s="252"/>
      <c r="R59" s="246"/>
      <c r="S59" s="108"/>
      <c r="T59" s="113"/>
      <c r="U59" s="246"/>
      <c r="V59" s="247"/>
      <c r="W59" s="246"/>
      <c r="X59" s="252"/>
      <c r="Y59" s="246"/>
      <c r="Z59" s="108"/>
      <c r="AA59" s="109"/>
      <c r="AB59" s="246"/>
      <c r="AC59" s="246"/>
      <c r="AD59" s="246"/>
      <c r="AE59" s="265"/>
      <c r="AF59" s="252"/>
      <c r="AG59" s="553">
        <f>SUM(B59:AF59)</f>
        <v>0</v>
      </c>
    </row>
    <row r="60" spans="1:34" ht="32.450000000000003" thickBot="1">
      <c r="A60" s="678" t="s">
        <v>40</v>
      </c>
      <c r="B60" s="311"/>
      <c r="C60" s="312"/>
      <c r="D60" s="312"/>
      <c r="E60" s="313"/>
      <c r="F60" s="312"/>
      <c r="G60" s="312"/>
      <c r="H60" s="312"/>
      <c r="I60" s="312"/>
      <c r="J60" s="312"/>
      <c r="K60" s="312"/>
      <c r="L60" s="313"/>
      <c r="M60" s="314"/>
      <c r="N60" s="312"/>
      <c r="O60" s="314"/>
      <c r="P60" s="312"/>
      <c r="Q60" s="314"/>
      <c r="R60" s="312"/>
      <c r="S60" s="312"/>
      <c r="T60" s="314"/>
      <c r="U60" s="312"/>
      <c r="V60" s="315"/>
      <c r="W60" s="312"/>
      <c r="X60" s="314"/>
      <c r="Y60" s="312"/>
      <c r="Z60" s="592" t="s">
        <v>18</v>
      </c>
      <c r="AA60" s="593" t="s">
        <v>18</v>
      </c>
      <c r="AB60" s="312"/>
      <c r="AC60" s="313"/>
      <c r="AD60" s="312"/>
      <c r="AE60" s="312"/>
      <c r="AF60" s="594" t="s">
        <v>18</v>
      </c>
      <c r="AG60" s="498" t="s">
        <v>41</v>
      </c>
    </row>
    <row r="61" spans="1:34" ht="32.450000000000003" thickBot="1">
      <c r="A61" s="679"/>
      <c r="B61" s="317"/>
      <c r="C61" s="318"/>
      <c r="D61" s="318"/>
      <c r="E61" s="460" t="s">
        <v>18</v>
      </c>
      <c r="F61" s="460" t="s">
        <v>18</v>
      </c>
      <c r="G61" s="318"/>
      <c r="H61" s="318"/>
      <c r="I61" s="318"/>
      <c r="J61" s="318"/>
      <c r="K61" s="318"/>
      <c r="L61" s="318"/>
      <c r="M61" s="318"/>
      <c r="N61" s="318"/>
      <c r="O61" s="318"/>
      <c r="P61" s="318"/>
      <c r="Q61" s="318"/>
      <c r="R61" s="318"/>
      <c r="S61" s="318"/>
      <c r="T61" s="318"/>
      <c r="U61" s="318"/>
      <c r="V61" s="318"/>
      <c r="W61" s="318"/>
      <c r="X61" s="318"/>
      <c r="Y61" s="318"/>
      <c r="Z61" s="318"/>
      <c r="AA61" s="318"/>
      <c r="AB61" s="318"/>
      <c r="AC61" s="318"/>
      <c r="AD61" s="318"/>
      <c r="AE61" s="318"/>
      <c r="AF61" s="319"/>
      <c r="AG61" s="499">
        <v>165.5</v>
      </c>
    </row>
    <row r="62" spans="1:34" ht="29.45" thickTop="1">
      <c r="A62" s="125" t="s">
        <v>42</v>
      </c>
      <c r="B62" s="126"/>
      <c r="C62" s="126"/>
      <c r="D62" s="124"/>
      <c r="E62" s="124"/>
      <c r="F62" s="124"/>
      <c r="G62" s="124"/>
      <c r="H62" s="127"/>
      <c r="I62" s="7"/>
      <c r="J62" s="7"/>
      <c r="K62" s="20" t="s">
        <v>43</v>
      </c>
      <c r="L62" s="37"/>
      <c r="M62" s="37"/>
      <c r="N62" s="37"/>
      <c r="O62" s="37"/>
      <c r="P62" s="22"/>
      <c r="Q62" s="22"/>
      <c r="R62" s="128"/>
      <c r="S62" s="128" t="s">
        <v>44</v>
      </c>
      <c r="T62" s="23"/>
      <c r="U62" s="129"/>
      <c r="V62" s="7"/>
      <c r="W62" s="7"/>
      <c r="X62" s="25"/>
      <c r="Y62" s="26"/>
      <c r="Z62" s="26"/>
      <c r="AA62" s="26"/>
      <c r="AB62" s="90" t="s">
        <v>45</v>
      </c>
      <c r="AC62" s="26"/>
      <c r="AD62" s="26"/>
      <c r="AE62" s="26"/>
      <c r="AF62" s="26"/>
      <c r="AG62" s="55"/>
    </row>
    <row r="63" spans="1:34" ht="28.9">
      <c r="A63" s="16" t="s">
        <v>46</v>
      </c>
      <c r="B63" s="17"/>
      <c r="C63" s="17"/>
      <c r="D63" s="18"/>
      <c r="E63" s="18"/>
      <c r="F63" s="18"/>
      <c r="G63" s="18"/>
      <c r="H63" s="19"/>
      <c r="I63" s="7"/>
      <c r="J63" s="7"/>
      <c r="K63" s="20" t="s">
        <v>47</v>
      </c>
      <c r="L63" s="21"/>
      <c r="M63" s="21"/>
      <c r="N63" s="21"/>
      <c r="O63" s="21"/>
      <c r="P63" s="22"/>
      <c r="Q63" s="128"/>
      <c r="R63" s="128" t="s">
        <v>48</v>
      </c>
      <c r="S63" s="23"/>
      <c r="T63" s="23"/>
      <c r="U63" s="24"/>
      <c r="V63" s="7"/>
      <c r="W63" s="7"/>
      <c r="X63" s="25"/>
      <c r="Y63" s="26"/>
      <c r="Z63" s="26"/>
      <c r="AA63" s="26"/>
      <c r="AB63" s="26"/>
      <c r="AC63" s="26"/>
      <c r="AD63" s="26"/>
      <c r="AE63" s="26"/>
      <c r="AF63" s="26"/>
      <c r="AG63" s="55"/>
    </row>
    <row r="64" spans="1:34" ht="28.15">
      <c r="A64" s="27" t="s">
        <v>49</v>
      </c>
      <c r="B64" s="28"/>
      <c r="C64" s="28"/>
      <c r="D64" s="28"/>
      <c r="E64" s="28"/>
      <c r="F64" s="28"/>
      <c r="G64" s="28"/>
      <c r="H64" s="29"/>
      <c r="I64" s="7"/>
      <c r="J64" s="7"/>
      <c r="K64" s="20" t="s">
        <v>50</v>
      </c>
      <c r="L64" s="21"/>
      <c r="M64" s="21"/>
      <c r="N64" s="21"/>
      <c r="O64" s="21"/>
      <c r="P64" s="22"/>
      <c r="Q64" s="22"/>
      <c r="R64" s="22"/>
      <c r="S64" s="22"/>
      <c r="T64" s="22"/>
      <c r="U64" s="30"/>
      <c r="V64" s="7"/>
      <c r="W64" s="7"/>
      <c r="X64" s="31"/>
      <c r="Y64" s="26"/>
      <c r="Z64" s="26"/>
      <c r="AA64" s="26"/>
      <c r="AB64" s="26"/>
      <c r="AC64" s="26"/>
      <c r="AD64" s="26"/>
      <c r="AE64" s="26"/>
      <c r="AF64" s="26"/>
      <c r="AG64" s="15"/>
    </row>
    <row r="65" spans="1:33" ht="28.9">
      <c r="A65" s="32" t="s">
        <v>51</v>
      </c>
      <c r="B65" s="33"/>
      <c r="C65" s="33"/>
      <c r="D65" s="34"/>
      <c r="E65" s="34"/>
      <c r="F65" s="34"/>
      <c r="G65" s="34"/>
      <c r="H65" s="35"/>
      <c r="I65" s="36"/>
      <c r="J65" s="36"/>
      <c r="K65" s="20" t="s">
        <v>70</v>
      </c>
      <c r="L65" s="21"/>
      <c r="M65" s="21"/>
      <c r="N65" s="21"/>
      <c r="O65" s="21"/>
      <c r="P65" s="37"/>
      <c r="Q65" s="37"/>
      <c r="R65" s="37"/>
      <c r="S65" s="38"/>
      <c r="T65" s="37"/>
      <c r="U65" s="39"/>
      <c r="V65" s="40"/>
      <c r="W65" s="6"/>
      <c r="X65" s="701"/>
      <c r="Y65" s="702"/>
      <c r="Z65" s="702"/>
      <c r="AA65" s="702"/>
      <c r="AB65" s="702"/>
      <c r="AC65" s="702"/>
      <c r="AD65" s="702"/>
      <c r="AE65" s="702"/>
      <c r="AF65" s="702"/>
      <c r="AG65" s="703"/>
    </row>
    <row r="66" spans="1:33" ht="28.9">
      <c r="A66" s="42" t="s">
        <v>53</v>
      </c>
      <c r="B66" s="43"/>
      <c r="C66" s="43"/>
      <c r="D66" s="43"/>
      <c r="E66" s="43"/>
      <c r="F66" s="43"/>
      <c r="G66" s="43"/>
      <c r="H66" s="44"/>
      <c r="I66" s="36"/>
      <c r="J66" s="36"/>
      <c r="K66" s="20" t="s">
        <v>71</v>
      </c>
      <c r="L66" s="21"/>
      <c r="M66" s="21"/>
      <c r="N66" s="21"/>
      <c r="O66" s="21"/>
      <c r="P66" s="21"/>
      <c r="Q66" s="21"/>
      <c r="R66" s="21"/>
      <c r="S66" s="38"/>
      <c r="T66" s="37"/>
      <c r="U66" s="39"/>
      <c r="V66" s="40"/>
      <c r="W66" s="6"/>
      <c r="X66" s="41"/>
      <c r="Y66" s="45"/>
      <c r="Z66" s="46"/>
      <c r="AA66" s="45"/>
      <c r="AB66" s="45"/>
      <c r="AC66" s="45"/>
      <c r="AD66" s="45"/>
      <c r="AE66" s="45"/>
      <c r="AF66" s="45"/>
      <c r="AG66" s="15"/>
    </row>
    <row r="67" spans="1:33" ht="28.9">
      <c r="A67" s="47" t="s">
        <v>55</v>
      </c>
      <c r="B67" s="48"/>
      <c r="C67" s="48"/>
      <c r="D67" s="49"/>
      <c r="E67" s="49"/>
      <c r="F67" s="49"/>
      <c r="G67" s="49"/>
      <c r="H67" s="50"/>
      <c r="I67" s="36"/>
      <c r="J67" s="36"/>
      <c r="K67" s="20" t="s">
        <v>56</v>
      </c>
      <c r="L67" s="21"/>
      <c r="M67" s="21"/>
      <c r="N67" s="21"/>
      <c r="O67" s="21"/>
      <c r="P67" s="21"/>
      <c r="Q67" s="21"/>
      <c r="R67" s="21"/>
      <c r="S67" s="38"/>
      <c r="T67" s="37"/>
      <c r="U67" s="51"/>
      <c r="V67" s="40"/>
      <c r="W67" s="6"/>
      <c r="X67" s="41"/>
      <c r="Y67" s="45"/>
      <c r="Z67" s="46"/>
      <c r="AA67" s="45"/>
      <c r="AB67" s="45"/>
      <c r="AC67" s="45"/>
      <c r="AD67" s="45"/>
      <c r="AE67" s="45"/>
      <c r="AF67" s="45"/>
      <c r="AG67" s="15"/>
    </row>
    <row r="68" spans="1:33" ht="28.9">
      <c r="A68" s="52" t="s">
        <v>57</v>
      </c>
      <c r="B68" s="53"/>
      <c r="C68" s="53"/>
      <c r="D68" s="53"/>
      <c r="E68" s="53"/>
      <c r="F68" s="53"/>
      <c r="G68" s="53"/>
      <c r="H68" s="54"/>
      <c r="I68" s="36"/>
      <c r="J68" s="36"/>
      <c r="K68" s="20" t="s">
        <v>58</v>
      </c>
      <c r="L68" s="21"/>
      <c r="M68" s="21"/>
      <c r="N68" s="21"/>
      <c r="O68" s="21"/>
      <c r="P68" s="21"/>
      <c r="Q68" s="21" t="s">
        <v>59</v>
      </c>
      <c r="R68" s="21"/>
      <c r="S68" s="38"/>
      <c r="T68" s="37"/>
      <c r="U68" s="39"/>
      <c r="V68" s="40"/>
      <c r="W68" s="6"/>
      <c r="X68" s="41"/>
      <c r="Y68" s="45"/>
      <c r="Z68" s="46"/>
      <c r="AA68" s="45"/>
      <c r="AB68" s="45"/>
      <c r="AC68" s="45"/>
      <c r="AD68" s="45"/>
      <c r="AE68" s="45"/>
      <c r="AF68" s="45"/>
      <c r="AG68" s="55"/>
    </row>
    <row r="69" spans="1:33" ht="29.45" thickBot="1">
      <c r="A69" s="78" t="s">
        <v>60</v>
      </c>
      <c r="B69" s="79"/>
      <c r="C69" s="79"/>
      <c r="D69" s="80"/>
      <c r="E69" s="80"/>
      <c r="F69" s="80"/>
      <c r="G69" s="80"/>
      <c r="H69" s="81"/>
      <c r="I69" s="6"/>
      <c r="J69" s="6"/>
      <c r="K69" s="20" t="s">
        <v>61</v>
      </c>
      <c r="L69" s="21"/>
      <c r="M69" s="21"/>
      <c r="N69" s="21"/>
      <c r="O69" s="21"/>
      <c r="P69" s="21"/>
      <c r="Q69" s="21"/>
      <c r="R69" s="21"/>
      <c r="S69" s="38"/>
      <c r="T69" s="37"/>
      <c r="U69" s="51"/>
      <c r="V69" s="6"/>
      <c r="W69" s="6"/>
      <c r="X69" s="41"/>
      <c r="Y69" s="45"/>
      <c r="Z69" s="46"/>
      <c r="AA69" s="45"/>
      <c r="AB69" s="45"/>
      <c r="AC69" s="45"/>
      <c r="AD69" s="45"/>
      <c r="AE69" s="45"/>
      <c r="AF69" s="45"/>
      <c r="AG69" s="55"/>
    </row>
    <row r="70" spans="1:33" ht="29.45" thickBot="1">
      <c r="A70" s="82" t="s">
        <v>62</v>
      </c>
      <c r="B70" s="83"/>
      <c r="C70" s="83"/>
      <c r="D70" s="83"/>
      <c r="E70" s="83"/>
      <c r="F70" s="83"/>
      <c r="G70" s="83"/>
      <c r="H70" s="84"/>
      <c r="I70" s="6"/>
      <c r="J70" s="6"/>
      <c r="K70" s="63" t="s">
        <v>63</v>
      </c>
      <c r="L70" s="64"/>
      <c r="M70" s="64"/>
      <c r="N70" s="64"/>
      <c r="O70" s="64"/>
      <c r="P70" s="64"/>
      <c r="Q70" s="64"/>
      <c r="R70" s="64"/>
      <c r="S70" s="65"/>
      <c r="T70" s="66"/>
      <c r="U70" s="67"/>
      <c r="V70" s="6"/>
      <c r="W70" s="6"/>
      <c r="X70" s="68"/>
      <c r="Y70" s="69"/>
      <c r="Z70" s="70"/>
      <c r="AA70" s="69"/>
      <c r="AB70" s="69"/>
      <c r="AC70" s="69"/>
      <c r="AD70" s="69"/>
      <c r="AE70" s="69"/>
      <c r="AF70" s="69"/>
      <c r="AG70" s="71"/>
    </row>
    <row r="71" spans="1:33" ht="28.9">
      <c r="A71" s="6"/>
      <c r="B71" s="6"/>
      <c r="C71" s="6"/>
      <c r="D71" s="6"/>
      <c r="E71" s="6"/>
      <c r="F71" s="6"/>
      <c r="G71" s="6"/>
      <c r="H71" s="6"/>
      <c r="I71" s="6"/>
      <c r="J71" s="72"/>
      <c r="K71" s="73"/>
      <c r="L71" s="74"/>
      <c r="M71" s="74"/>
      <c r="N71" s="74"/>
      <c r="O71" s="74"/>
      <c r="P71" s="74"/>
      <c r="Q71" s="74"/>
      <c r="R71" s="72"/>
      <c r="S71" s="72"/>
      <c r="T71" s="72"/>
      <c r="U71" s="72"/>
      <c r="V71" s="72"/>
      <c r="W71" s="72"/>
      <c r="X71" s="72"/>
      <c r="Y71" s="72"/>
      <c r="Z71" s="6"/>
      <c r="AA71" s="6"/>
      <c r="AB71" s="6"/>
      <c r="AC71" s="6"/>
      <c r="AD71" s="6"/>
      <c r="AE71" s="6"/>
      <c r="AF71" s="6"/>
      <c r="AG71" s="6"/>
    </row>
    <row r="72" spans="1:33" ht="28.9">
      <c r="A72" s="6" t="s">
        <v>64</v>
      </c>
      <c r="B72" s="6"/>
      <c r="C72" s="6"/>
      <c r="D72" s="6"/>
      <c r="E72" s="6"/>
      <c r="F72" s="6"/>
      <c r="G72" s="6"/>
      <c r="H72" s="6" t="s">
        <v>65</v>
      </c>
      <c r="I72" s="6"/>
      <c r="J72" s="72"/>
      <c r="K72" s="73"/>
      <c r="L72" s="74"/>
      <c r="M72" s="74"/>
      <c r="N72" s="74"/>
      <c r="O72" s="74"/>
      <c r="P72" s="74" t="s">
        <v>66</v>
      </c>
      <c r="Q72" s="74"/>
      <c r="R72" s="72"/>
      <c r="S72" s="72"/>
      <c r="T72" s="72"/>
      <c r="U72" s="72"/>
      <c r="V72" s="72"/>
      <c r="W72" s="72"/>
      <c r="X72" s="72"/>
      <c r="Y72" s="72"/>
      <c r="Z72" s="6"/>
      <c r="AA72" s="6" t="s">
        <v>72</v>
      </c>
      <c r="AB72" s="6"/>
      <c r="AC72" s="6"/>
      <c r="AD72" s="6"/>
      <c r="AE72" s="6"/>
      <c r="AF72" s="6"/>
      <c r="AG72" s="6"/>
    </row>
    <row r="73" spans="1:33" ht="28.9">
      <c r="A73" s="6"/>
      <c r="B73" s="6"/>
      <c r="C73" s="6"/>
      <c r="D73" s="6"/>
      <c r="E73" s="6"/>
      <c r="F73" s="6"/>
      <c r="G73" s="6"/>
      <c r="H73" s="6"/>
      <c r="I73" s="6"/>
      <c r="J73" s="72"/>
      <c r="K73" s="73"/>
      <c r="L73" s="74"/>
      <c r="M73" s="74"/>
      <c r="N73" s="74"/>
      <c r="O73" s="74"/>
      <c r="P73" s="74" t="s">
        <v>68</v>
      </c>
      <c r="Q73" s="74"/>
      <c r="R73" s="72"/>
      <c r="S73" s="72"/>
      <c r="T73" s="72"/>
      <c r="U73" s="72"/>
      <c r="V73" s="72"/>
      <c r="W73" s="72"/>
      <c r="X73" s="72"/>
      <c r="Y73" s="72"/>
      <c r="Z73" s="6"/>
      <c r="AA73" s="6"/>
      <c r="AB73" s="6"/>
      <c r="AC73" s="6"/>
      <c r="AD73" s="6"/>
      <c r="AE73" s="6"/>
      <c r="AF73" s="6"/>
    </row>
    <row r="74" spans="1:33" ht="28.9">
      <c r="A74" s="6"/>
      <c r="B74" s="6"/>
      <c r="C74" s="6"/>
      <c r="D74" s="6"/>
      <c r="E74" s="6"/>
      <c r="F74" s="6"/>
      <c r="G74" s="6"/>
      <c r="H74" s="6"/>
      <c r="I74" s="6"/>
      <c r="J74" s="72"/>
      <c r="K74" s="73"/>
      <c r="L74" s="74"/>
      <c r="M74" s="74"/>
      <c r="N74" s="74"/>
      <c r="O74" s="74"/>
      <c r="P74" s="74"/>
      <c r="Q74" s="74"/>
      <c r="R74" s="72"/>
      <c r="S74" s="72"/>
      <c r="T74" s="72"/>
      <c r="U74" s="72"/>
      <c r="V74" s="72"/>
      <c r="W74" s="72"/>
      <c r="X74" s="72"/>
      <c r="Y74" s="72"/>
      <c r="Z74" s="6"/>
      <c r="AA74" s="6"/>
      <c r="AB74" s="6"/>
      <c r="AC74" s="6"/>
      <c r="AD74" s="6"/>
      <c r="AE74" s="6"/>
      <c r="AF74" s="6"/>
    </row>
    <row r="75" spans="1:33" ht="28.9">
      <c r="A75" s="6"/>
      <c r="B75" s="6"/>
      <c r="C75" s="6"/>
      <c r="D75" s="6"/>
      <c r="E75" s="6"/>
      <c r="F75" s="6"/>
      <c r="G75" s="6"/>
      <c r="H75" s="6"/>
      <c r="I75" s="6"/>
      <c r="J75" s="72"/>
      <c r="K75" s="73"/>
      <c r="L75" s="74"/>
      <c r="M75" s="74"/>
      <c r="N75" s="74"/>
      <c r="O75" s="74"/>
      <c r="P75" s="74"/>
      <c r="Q75" s="74"/>
      <c r="R75" s="72"/>
      <c r="S75" s="72"/>
      <c r="T75" s="72"/>
      <c r="U75" s="72"/>
      <c r="V75" s="72"/>
      <c r="W75" s="72"/>
      <c r="X75" s="72"/>
      <c r="Y75" s="72"/>
      <c r="Z75" s="6"/>
      <c r="AA75" s="6"/>
      <c r="AB75" s="6"/>
      <c r="AC75" s="6"/>
      <c r="AD75" s="6"/>
      <c r="AE75" s="6"/>
      <c r="AF75" s="6"/>
    </row>
    <row r="76" spans="1:33" ht="28.9">
      <c r="A76" s="6"/>
      <c r="B76" s="6"/>
      <c r="C76" s="6"/>
      <c r="D76" s="6"/>
      <c r="E76" s="6"/>
      <c r="F76" s="6"/>
      <c r="G76" s="6"/>
      <c r="H76" s="6"/>
      <c r="I76" s="6"/>
      <c r="J76" s="72"/>
      <c r="K76" s="73"/>
      <c r="L76" s="74"/>
      <c r="M76" s="74"/>
      <c r="N76" s="74"/>
      <c r="O76" s="74"/>
      <c r="P76" s="74"/>
      <c r="Q76" s="74"/>
      <c r="R76" s="72"/>
      <c r="S76" s="72"/>
      <c r="T76" s="72"/>
      <c r="U76" s="72"/>
      <c r="V76" s="72"/>
      <c r="W76" s="72"/>
      <c r="X76" s="72"/>
      <c r="Y76" s="72"/>
      <c r="Z76" s="6"/>
      <c r="AA76" s="6"/>
      <c r="AB76" s="6"/>
      <c r="AC76" s="6"/>
      <c r="AD76" s="6"/>
      <c r="AE76" s="6"/>
      <c r="AF76" s="6"/>
    </row>
    <row r="77" spans="1:33">
      <c r="A77" s="680"/>
      <c r="B77" s="681"/>
      <c r="C77" s="681"/>
      <c r="D77" s="681"/>
      <c r="E77" s="681"/>
      <c r="F77" s="681"/>
      <c r="G77" s="681"/>
      <c r="H77" s="681"/>
      <c r="I77" s="681"/>
      <c r="J77" s="681"/>
      <c r="K77" s="681"/>
      <c r="L77" s="681"/>
      <c r="M77" s="681"/>
      <c r="N77" s="681"/>
      <c r="O77" s="681"/>
      <c r="P77" s="681"/>
      <c r="Q77" s="681"/>
      <c r="R77" s="681"/>
      <c r="S77" s="681"/>
      <c r="T77" s="681"/>
      <c r="U77" s="681"/>
      <c r="V77" s="681"/>
      <c r="W77" s="681"/>
      <c r="X77" s="681"/>
      <c r="Y77" s="681"/>
      <c r="Z77" s="681"/>
      <c r="AA77" s="681"/>
      <c r="AB77" s="681"/>
      <c r="AC77" s="681"/>
      <c r="AD77" s="681"/>
      <c r="AE77" s="681"/>
      <c r="AF77" s="681"/>
    </row>
    <row r="78" spans="1:33">
      <c r="A78" s="681"/>
      <c r="B78" s="681"/>
      <c r="C78" s="681"/>
      <c r="D78" s="681"/>
      <c r="E78" s="681"/>
      <c r="F78" s="681"/>
      <c r="G78" s="681"/>
      <c r="H78" s="681"/>
      <c r="I78" s="681"/>
      <c r="J78" s="681"/>
      <c r="K78" s="681"/>
      <c r="L78" s="681"/>
      <c r="M78" s="681"/>
      <c r="N78" s="681"/>
      <c r="O78" s="681"/>
      <c r="P78" s="681"/>
      <c r="Q78" s="681"/>
      <c r="R78" s="681"/>
      <c r="S78" s="681"/>
      <c r="T78" s="681"/>
      <c r="U78" s="681"/>
      <c r="V78" s="681"/>
      <c r="W78" s="681"/>
      <c r="X78" s="681"/>
      <c r="Y78" s="681"/>
      <c r="Z78" s="681"/>
      <c r="AA78" s="681"/>
      <c r="AB78" s="681"/>
      <c r="AC78" s="681"/>
      <c r="AD78" s="681"/>
      <c r="AE78" s="681"/>
      <c r="AF78" s="681"/>
    </row>
    <row r="79" spans="1:33">
      <c r="A79" s="704"/>
      <c r="B79" s="704"/>
      <c r="C79" s="704"/>
      <c r="D79" s="704"/>
      <c r="E79" s="704"/>
      <c r="F79" s="704"/>
      <c r="G79" s="704"/>
      <c r="H79" s="704"/>
      <c r="I79" s="704"/>
      <c r="J79" s="704"/>
      <c r="K79" s="704"/>
      <c r="L79" s="704"/>
      <c r="M79" s="704"/>
      <c r="N79" s="704"/>
      <c r="O79" s="704"/>
      <c r="P79" s="704"/>
      <c r="Q79" s="704"/>
      <c r="R79" s="704"/>
      <c r="S79" s="704"/>
      <c r="T79" s="704"/>
      <c r="U79" s="704"/>
      <c r="V79" s="704"/>
      <c r="W79" s="704"/>
      <c r="X79" s="704"/>
      <c r="Y79" s="704"/>
      <c r="Z79" s="704"/>
      <c r="AA79" s="704"/>
      <c r="AB79" s="704"/>
      <c r="AC79" s="704"/>
      <c r="AD79" s="704"/>
      <c r="AE79" s="704"/>
      <c r="AF79" s="704"/>
    </row>
    <row r="80" spans="1:33">
      <c r="A80" s="704"/>
      <c r="B80" s="704"/>
      <c r="C80" s="704"/>
      <c r="D80" s="704"/>
      <c r="E80" s="704"/>
      <c r="F80" s="704"/>
      <c r="G80" s="704"/>
      <c r="H80" s="704"/>
      <c r="I80" s="704"/>
      <c r="J80" s="704"/>
      <c r="K80" s="704"/>
      <c r="L80" s="704"/>
      <c r="M80" s="704"/>
      <c r="N80" s="704"/>
      <c r="O80" s="704"/>
      <c r="P80" s="704"/>
      <c r="Q80" s="704"/>
      <c r="R80" s="704"/>
      <c r="S80" s="704"/>
      <c r="T80" s="704"/>
      <c r="U80" s="704"/>
      <c r="V80" s="704"/>
      <c r="W80" s="704"/>
      <c r="X80" s="704"/>
      <c r="Y80" s="704"/>
      <c r="Z80" s="704"/>
      <c r="AA80" s="704"/>
      <c r="AB80" s="704"/>
      <c r="AC80" s="704"/>
      <c r="AD80" s="704"/>
      <c r="AE80" s="704"/>
      <c r="AF80" s="704"/>
    </row>
  </sheetData>
  <mergeCells count="3">
    <mergeCell ref="A60:A61"/>
    <mergeCell ref="X65:AG65"/>
    <mergeCell ref="A77:AF80"/>
  </mergeCells>
  <pageMargins left="0.7" right="0.7" top="0.75" bottom="0.75" header="0.3" footer="0.3"/>
  <pageSetup paperSize="9" orientation="landscape"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7356-7612-7D46-932B-3B8ADD1A1AE6}">
  <dimension ref="A1:AI80"/>
  <sheetViews>
    <sheetView showGridLines="0" zoomScale="41" zoomScaleNormal="40" workbookViewId="0">
      <selection activeCell="AG62" sqref="AG62"/>
    </sheetView>
  </sheetViews>
  <sheetFormatPr defaultColWidth="8.7109375" defaultRowHeight="14.45"/>
  <cols>
    <col min="1" max="1" width="19.7109375" customWidth="1"/>
    <col min="4" max="4" width="8.7109375" style="1"/>
    <col min="5" max="5" width="8.7109375" customWidth="1"/>
    <col min="11" max="11" width="8.140625" customWidth="1"/>
    <col min="23" max="23" width="9.42578125" customWidth="1"/>
    <col min="26" max="26" width="9.140625" customWidth="1"/>
    <col min="33" max="33" width="11.140625" customWidth="1"/>
    <col min="34" max="34" width="21.7109375" customWidth="1"/>
  </cols>
  <sheetData>
    <row r="1" spans="1:34" ht="28.9" thickTop="1" thickBot="1">
      <c r="A1" s="185" t="s">
        <v>0</v>
      </c>
      <c r="B1" s="200">
        <v>1</v>
      </c>
      <c r="C1" s="140">
        <v>2</v>
      </c>
      <c r="D1" s="281">
        <v>3</v>
      </c>
      <c r="E1" s="282">
        <v>4</v>
      </c>
      <c r="F1" s="281">
        <v>5</v>
      </c>
      <c r="G1" s="281">
        <v>6</v>
      </c>
      <c r="H1" s="281">
        <v>7</v>
      </c>
      <c r="I1" s="140">
        <v>8</v>
      </c>
      <c r="J1" s="140">
        <v>9</v>
      </c>
      <c r="K1" s="281">
        <v>10</v>
      </c>
      <c r="L1" s="283">
        <v>11</v>
      </c>
      <c r="M1" s="284">
        <v>12</v>
      </c>
      <c r="N1" s="369">
        <v>13</v>
      </c>
      <c r="O1" s="281">
        <v>14</v>
      </c>
      <c r="P1" s="142">
        <v>15</v>
      </c>
      <c r="Q1" s="140">
        <v>16</v>
      </c>
      <c r="R1" s="283">
        <v>17</v>
      </c>
      <c r="S1" s="281">
        <v>18</v>
      </c>
      <c r="T1" s="281">
        <v>19</v>
      </c>
      <c r="U1" s="283">
        <v>20</v>
      </c>
      <c r="V1" s="281">
        <v>21</v>
      </c>
      <c r="W1" s="142">
        <v>22</v>
      </c>
      <c r="X1" s="140">
        <v>23</v>
      </c>
      <c r="Y1" s="283">
        <v>24</v>
      </c>
      <c r="Z1" s="281">
        <v>25</v>
      </c>
      <c r="AA1" s="283">
        <v>26</v>
      </c>
      <c r="AB1" s="369">
        <v>27</v>
      </c>
      <c r="AC1" s="283">
        <v>28</v>
      </c>
      <c r="AD1" s="140">
        <v>29</v>
      </c>
      <c r="AE1" s="140">
        <v>30</v>
      </c>
      <c r="AF1" s="285">
        <v>31</v>
      </c>
      <c r="AG1" s="176" t="s">
        <v>1</v>
      </c>
      <c r="AH1" s="474" t="s">
        <v>2</v>
      </c>
    </row>
    <row r="2" spans="1:34" ht="29.45" thickBot="1">
      <c r="A2" s="186" t="s">
        <v>77</v>
      </c>
      <c r="B2" s="344" t="s">
        <v>7</v>
      </c>
      <c r="C2" s="121" t="s">
        <v>8</v>
      </c>
      <c r="D2" s="119" t="s">
        <v>9</v>
      </c>
      <c r="E2" s="119" t="s">
        <v>10</v>
      </c>
      <c r="F2" s="119" t="s">
        <v>4</v>
      </c>
      <c r="G2" s="119" t="s">
        <v>5</v>
      </c>
      <c r="H2" s="119" t="s">
        <v>6</v>
      </c>
      <c r="I2" s="181" t="s">
        <v>7</v>
      </c>
      <c r="J2" s="121" t="s">
        <v>8</v>
      </c>
      <c r="K2" s="119" t="s">
        <v>9</v>
      </c>
      <c r="L2" s="119" t="s">
        <v>10</v>
      </c>
      <c r="M2" s="119" t="s">
        <v>4</v>
      </c>
      <c r="N2" s="397" t="s">
        <v>5</v>
      </c>
      <c r="O2" s="119" t="s">
        <v>6</v>
      </c>
      <c r="P2" s="181" t="s">
        <v>7</v>
      </c>
      <c r="Q2" s="121" t="s">
        <v>8</v>
      </c>
      <c r="R2" s="119" t="s">
        <v>9</v>
      </c>
      <c r="S2" s="119" t="s">
        <v>10</v>
      </c>
      <c r="T2" s="119" t="s">
        <v>4</v>
      </c>
      <c r="U2" s="119" t="s">
        <v>5</v>
      </c>
      <c r="V2" s="119" t="s">
        <v>6</v>
      </c>
      <c r="W2" s="181" t="s">
        <v>7</v>
      </c>
      <c r="X2" s="121" t="s">
        <v>8</v>
      </c>
      <c r="Y2" s="119" t="s">
        <v>9</v>
      </c>
      <c r="Z2" s="119" t="s">
        <v>10</v>
      </c>
      <c r="AA2" s="119" t="s">
        <v>4</v>
      </c>
      <c r="AB2" s="397" t="s">
        <v>5</v>
      </c>
      <c r="AC2" s="119" t="s">
        <v>6</v>
      </c>
      <c r="AD2" s="181" t="s">
        <v>7</v>
      </c>
      <c r="AE2" s="121" t="s">
        <v>8</v>
      </c>
      <c r="AF2" s="120" t="s">
        <v>9</v>
      </c>
      <c r="AG2" s="214">
        <f>SUM(AG5,AG8,AG11,AG17,AG20,AG23,AG26,AG29,AG32,AG35,AG38,AG41,AG44,AG47,AG50,AG53,AG56,AG59)</f>
        <v>55</v>
      </c>
      <c r="AH2" s="475" t="s">
        <v>11</v>
      </c>
    </row>
    <row r="3" spans="1:34" ht="28.9" thickBot="1">
      <c r="A3" s="146" t="s">
        <v>12</v>
      </c>
      <c r="B3" s="345"/>
      <c r="C3" s="122"/>
      <c r="D3" s="624" t="s">
        <v>13</v>
      </c>
      <c r="E3" s="624" t="s">
        <v>13</v>
      </c>
      <c r="F3" s="624" t="s">
        <v>13</v>
      </c>
      <c r="G3" s="624" t="s">
        <v>13</v>
      </c>
      <c r="H3" s="624" t="s">
        <v>13</v>
      </c>
      <c r="I3" s="624"/>
      <c r="J3" s="624"/>
      <c r="K3" s="220" t="s">
        <v>13</v>
      </c>
      <c r="L3" s="220" t="s">
        <v>13</v>
      </c>
      <c r="M3" s="293" t="s">
        <v>13</v>
      </c>
      <c r="N3" s="382" t="s">
        <v>13</v>
      </c>
      <c r="O3" s="220" t="s">
        <v>13</v>
      </c>
      <c r="P3" s="122"/>
      <c r="Q3" s="122"/>
      <c r="R3" s="624" t="s">
        <v>13</v>
      </c>
      <c r="S3" s="624" t="s">
        <v>13</v>
      </c>
      <c r="T3" s="624" t="s">
        <v>13</v>
      </c>
      <c r="U3" s="624" t="s">
        <v>13</v>
      </c>
      <c r="V3" s="624" t="s">
        <v>13</v>
      </c>
      <c r="W3" s="624"/>
      <c r="X3" s="624"/>
      <c r="Y3" s="220" t="s">
        <v>13</v>
      </c>
      <c r="Z3" s="220" t="s">
        <v>13</v>
      </c>
      <c r="AA3" s="293" t="s">
        <v>13</v>
      </c>
      <c r="AB3" s="382" t="s">
        <v>13</v>
      </c>
      <c r="AC3" s="220" t="s">
        <v>13</v>
      </c>
      <c r="AD3" s="122"/>
      <c r="AE3" s="122"/>
      <c r="AF3" s="624" t="s">
        <v>13</v>
      </c>
      <c r="AG3" s="215">
        <f t="shared" ref="AG3:AG32" si="0">SUM(B3:AF3)</f>
        <v>0</v>
      </c>
      <c r="AH3" s="476"/>
    </row>
    <row r="4" spans="1:34" ht="28.9" thickBot="1">
      <c r="A4" s="146" t="s">
        <v>14</v>
      </c>
      <c r="B4" s="193"/>
      <c r="C4" s="103"/>
      <c r="D4" s="224">
        <v>7.5</v>
      </c>
      <c r="E4" s="224">
        <v>7.5</v>
      </c>
      <c r="F4" s="224">
        <v>7.5</v>
      </c>
      <c r="G4" s="224">
        <v>7.5</v>
      </c>
      <c r="H4" s="224">
        <v>7.5</v>
      </c>
      <c r="I4" s="103"/>
      <c r="J4" s="103"/>
      <c r="K4" s="224">
        <v>7.5</v>
      </c>
      <c r="L4" s="224">
        <v>7.5</v>
      </c>
      <c r="M4" s="224">
        <v>7.5</v>
      </c>
      <c r="N4" s="372">
        <v>7.5</v>
      </c>
      <c r="O4" s="224">
        <v>7.5</v>
      </c>
      <c r="P4" s="103"/>
      <c r="Q4" s="103"/>
      <c r="R4" s="224">
        <v>7.5</v>
      </c>
      <c r="S4" s="224">
        <v>7.5</v>
      </c>
      <c r="T4" s="224">
        <v>7.5</v>
      </c>
      <c r="U4" s="224">
        <v>7.5</v>
      </c>
      <c r="V4" s="224">
        <v>7.5</v>
      </c>
      <c r="W4" s="103"/>
      <c r="X4" s="103"/>
      <c r="Y4" s="224">
        <v>7.5</v>
      </c>
      <c r="Z4" s="224">
        <v>7.5</v>
      </c>
      <c r="AA4" s="224">
        <v>7.5</v>
      </c>
      <c r="AB4" s="372">
        <v>7.5</v>
      </c>
      <c r="AC4" s="224">
        <v>7.5</v>
      </c>
      <c r="AD4" s="103"/>
      <c r="AE4" s="103"/>
      <c r="AF4" s="224">
        <v>7.5</v>
      </c>
      <c r="AG4" s="496">
        <f t="shared" si="0"/>
        <v>157.5</v>
      </c>
      <c r="AH4" s="477"/>
    </row>
    <row r="5" spans="1:34" ht="28.9" thickBot="1">
      <c r="A5" s="187" t="s">
        <v>15</v>
      </c>
      <c r="B5" s="193"/>
      <c r="C5" s="103"/>
      <c r="D5" s="224"/>
      <c r="E5" s="294"/>
      <c r="F5" s="224"/>
      <c r="G5" s="224"/>
      <c r="H5" s="224"/>
      <c r="I5" s="103"/>
      <c r="J5" s="103"/>
      <c r="K5" s="257"/>
      <c r="L5" s="224"/>
      <c r="M5" s="257"/>
      <c r="N5" s="372"/>
      <c r="O5" s="257"/>
      <c r="P5" s="103"/>
      <c r="Q5" s="145"/>
      <c r="R5" s="224"/>
      <c r="S5" s="224"/>
      <c r="T5" s="257"/>
      <c r="U5" s="224"/>
      <c r="V5" s="257"/>
      <c r="W5" s="103"/>
      <c r="X5" s="145"/>
      <c r="Y5" s="224"/>
      <c r="Z5" s="225"/>
      <c r="AA5" s="225"/>
      <c r="AB5" s="372"/>
      <c r="AC5" s="257"/>
      <c r="AD5" s="103"/>
      <c r="AE5" s="103"/>
      <c r="AF5" s="224"/>
      <c r="AG5" s="497">
        <f t="shared" si="0"/>
        <v>0</v>
      </c>
      <c r="AH5" s="478"/>
    </row>
    <row r="6" spans="1:34" ht="28.9" thickBot="1">
      <c r="A6" s="146" t="s">
        <v>16</v>
      </c>
      <c r="B6" s="627"/>
      <c r="C6" s="624"/>
      <c r="D6" s="220" t="s">
        <v>13</v>
      </c>
      <c r="E6" s="220" t="s">
        <v>13</v>
      </c>
      <c r="F6" s="220" t="s">
        <v>13</v>
      </c>
      <c r="G6" s="220" t="s">
        <v>13</v>
      </c>
      <c r="H6" s="220" t="s">
        <v>13</v>
      </c>
      <c r="I6" s="122"/>
      <c r="J6" s="122"/>
      <c r="K6" s="624" t="s">
        <v>13</v>
      </c>
      <c r="L6" s="624" t="s">
        <v>13</v>
      </c>
      <c r="M6" s="628" t="s">
        <v>13</v>
      </c>
      <c r="N6" s="624" t="s">
        <v>13</v>
      </c>
      <c r="O6" s="624" t="s">
        <v>13</v>
      </c>
      <c r="P6" s="624"/>
      <c r="Q6" s="624"/>
      <c r="R6" s="220" t="s">
        <v>13</v>
      </c>
      <c r="S6" s="220" t="s">
        <v>13</v>
      </c>
      <c r="T6" s="220" t="s">
        <v>13</v>
      </c>
      <c r="U6" s="220" t="s">
        <v>13</v>
      </c>
      <c r="V6" s="220" t="s">
        <v>13</v>
      </c>
      <c r="W6" s="122"/>
      <c r="X6" s="122"/>
      <c r="Y6" s="624" t="s">
        <v>13</v>
      </c>
      <c r="Z6" s="624" t="s">
        <v>13</v>
      </c>
      <c r="AA6" s="628" t="s">
        <v>13</v>
      </c>
      <c r="AB6" s="624" t="s">
        <v>13</v>
      </c>
      <c r="AC6" s="624" t="s">
        <v>13</v>
      </c>
      <c r="AD6" s="624"/>
      <c r="AE6" s="624"/>
      <c r="AF6" s="220" t="s">
        <v>13</v>
      </c>
      <c r="AG6" s="215">
        <f t="shared" si="0"/>
        <v>0</v>
      </c>
      <c r="AH6" s="479"/>
    </row>
    <row r="7" spans="1:34" ht="28.9" thickBot="1">
      <c r="A7" s="146" t="s">
        <v>19</v>
      </c>
      <c r="B7" s="193"/>
      <c r="C7" s="103"/>
      <c r="D7" s="224">
        <v>7.5</v>
      </c>
      <c r="E7" s="224">
        <v>7.5</v>
      </c>
      <c r="F7" s="224">
        <v>7.5</v>
      </c>
      <c r="G7" s="224">
        <v>7.5</v>
      </c>
      <c r="H7" s="224">
        <v>7.5</v>
      </c>
      <c r="I7" s="103"/>
      <c r="J7" s="103"/>
      <c r="K7" s="224">
        <v>7.5</v>
      </c>
      <c r="L7" s="224">
        <v>7.5</v>
      </c>
      <c r="M7" s="224">
        <v>7.5</v>
      </c>
      <c r="N7" s="372">
        <v>7.5</v>
      </c>
      <c r="O7" s="224">
        <v>7.5</v>
      </c>
      <c r="P7" s="103"/>
      <c r="Q7" s="103"/>
      <c r="R7" s="224">
        <v>7.5</v>
      </c>
      <c r="S7" s="224">
        <v>7.5</v>
      </c>
      <c r="T7" s="224">
        <v>7.5</v>
      </c>
      <c r="U7" s="224">
        <v>7.5</v>
      </c>
      <c r="V7" s="224">
        <v>7.5</v>
      </c>
      <c r="W7" s="103"/>
      <c r="X7" s="103"/>
      <c r="Y7" s="224">
        <v>7.5</v>
      </c>
      <c r="Z7" s="224">
        <v>7.5</v>
      </c>
      <c r="AA7" s="224">
        <v>7.5</v>
      </c>
      <c r="AB7" s="372">
        <v>7.5</v>
      </c>
      <c r="AC7" s="224">
        <v>7.5</v>
      </c>
      <c r="AD7" s="103"/>
      <c r="AE7" s="103"/>
      <c r="AF7" s="224">
        <v>7.5</v>
      </c>
      <c r="AG7" s="496">
        <f t="shared" si="0"/>
        <v>157.5</v>
      </c>
      <c r="AH7" s="480">
        <f>SUM(AG7-AG61)</f>
        <v>-8</v>
      </c>
    </row>
    <row r="8" spans="1:34" ht="28.9" thickBot="1">
      <c r="A8" s="187" t="s">
        <v>20</v>
      </c>
      <c r="B8" s="641"/>
      <c r="C8" s="634"/>
      <c r="D8" s="632"/>
      <c r="E8" s="642"/>
      <c r="F8" s="632"/>
      <c r="G8" s="632"/>
      <c r="H8" s="632"/>
      <c r="I8" s="634"/>
      <c r="J8" s="634"/>
      <c r="K8" s="636"/>
      <c r="L8" s="632"/>
      <c r="M8" s="636"/>
      <c r="N8" s="635"/>
      <c r="O8" s="636"/>
      <c r="P8" s="634"/>
      <c r="Q8" s="637"/>
      <c r="R8" s="632"/>
      <c r="S8" s="632"/>
      <c r="T8" s="636"/>
      <c r="U8" s="632"/>
      <c r="V8" s="636"/>
      <c r="W8" s="634"/>
      <c r="X8" s="637"/>
      <c r="Y8" s="632"/>
      <c r="Z8" s="643"/>
      <c r="AA8" s="643"/>
      <c r="AB8" s="635"/>
      <c r="AC8" s="636"/>
      <c r="AD8" s="634"/>
      <c r="AE8" s="634"/>
      <c r="AF8" s="640"/>
      <c r="AG8" s="497">
        <f t="shared" si="0"/>
        <v>0</v>
      </c>
      <c r="AH8" s="481"/>
    </row>
    <row r="9" spans="1:34" ht="28.9" thickBot="1">
      <c r="A9" s="173" t="s">
        <v>21</v>
      </c>
      <c r="B9" s="193"/>
      <c r="C9" s="103" t="s">
        <v>18</v>
      </c>
      <c r="D9" s="224" t="s">
        <v>18</v>
      </c>
      <c r="E9" s="248"/>
      <c r="F9" s="246"/>
      <c r="G9" s="224"/>
      <c r="H9" s="224"/>
      <c r="I9" s="103" t="s">
        <v>18</v>
      </c>
      <c r="J9" s="103" t="s">
        <v>18</v>
      </c>
      <c r="K9" s="224"/>
      <c r="L9" s="297"/>
      <c r="M9" s="247"/>
      <c r="N9" s="372"/>
      <c r="O9" s="224" t="s">
        <v>18</v>
      </c>
      <c r="P9" s="108" t="s">
        <v>18</v>
      </c>
      <c r="Q9" s="107"/>
      <c r="R9" s="246"/>
      <c r="S9" s="246"/>
      <c r="T9" s="248"/>
      <c r="U9" s="246" t="s">
        <v>18</v>
      </c>
      <c r="V9" s="246" t="s">
        <v>18</v>
      </c>
      <c r="W9" s="107"/>
      <c r="X9" s="109"/>
      <c r="Y9" s="246"/>
      <c r="Z9" s="248"/>
      <c r="AA9" s="246" t="s">
        <v>18</v>
      </c>
      <c r="AB9" s="376" t="s">
        <v>18</v>
      </c>
      <c r="AC9" s="248"/>
      <c r="AD9" s="107"/>
      <c r="AE9" s="107"/>
      <c r="AF9" s="248"/>
      <c r="AG9" s="215">
        <f t="shared" si="0"/>
        <v>0</v>
      </c>
      <c r="AH9" s="482"/>
    </row>
    <row r="10" spans="1:34" ht="28.9" thickBot="1">
      <c r="A10" s="146" t="s">
        <v>22</v>
      </c>
      <c r="B10" s="197"/>
      <c r="C10" s="108">
        <v>15</v>
      </c>
      <c r="D10" s="246">
        <v>15</v>
      </c>
      <c r="E10" s="248">
        <v>0.5</v>
      </c>
      <c r="F10" s="246"/>
      <c r="G10" s="246"/>
      <c r="H10" s="248"/>
      <c r="I10" s="108">
        <v>15</v>
      </c>
      <c r="J10" s="108">
        <v>15</v>
      </c>
      <c r="K10" s="248">
        <v>0.5</v>
      </c>
      <c r="L10" s="246"/>
      <c r="M10" s="247"/>
      <c r="N10" s="376">
        <v>5</v>
      </c>
      <c r="O10" s="246">
        <v>15</v>
      </c>
      <c r="P10" s="108">
        <v>15</v>
      </c>
      <c r="Q10" s="107">
        <v>0.5</v>
      </c>
      <c r="R10" s="246"/>
      <c r="S10" s="246"/>
      <c r="T10" s="248"/>
      <c r="U10" s="246">
        <v>15</v>
      </c>
      <c r="V10" s="246">
        <v>15</v>
      </c>
      <c r="W10" s="107">
        <v>0.5</v>
      </c>
      <c r="X10" s="108"/>
      <c r="Y10" s="246"/>
      <c r="Z10" s="248"/>
      <c r="AA10" s="247">
        <v>15</v>
      </c>
      <c r="AB10" s="376">
        <v>15</v>
      </c>
      <c r="AC10" s="248">
        <v>0.5</v>
      </c>
      <c r="AD10" s="107"/>
      <c r="AE10" s="107"/>
      <c r="AF10" s="248"/>
      <c r="AG10" s="496">
        <f t="shared" si="0"/>
        <v>157.5</v>
      </c>
      <c r="AH10" s="480">
        <f>SUM(AG10-AG61)</f>
        <v>-8</v>
      </c>
    </row>
    <row r="11" spans="1:34" ht="28.9" thickBot="1">
      <c r="A11" s="187" t="s">
        <v>23</v>
      </c>
      <c r="B11" s="196"/>
      <c r="C11" s="133">
        <v>1</v>
      </c>
      <c r="D11" s="227">
        <v>1</v>
      </c>
      <c r="E11" s="228"/>
      <c r="F11" s="227"/>
      <c r="G11" s="227"/>
      <c r="H11" s="227"/>
      <c r="I11" s="133">
        <v>1</v>
      </c>
      <c r="J11" s="133">
        <v>1</v>
      </c>
      <c r="K11" s="229"/>
      <c r="L11" s="227"/>
      <c r="M11" s="229"/>
      <c r="N11" s="373"/>
      <c r="O11" s="227">
        <v>1</v>
      </c>
      <c r="P11" s="135">
        <v>1</v>
      </c>
      <c r="Q11" s="134"/>
      <c r="R11" s="227"/>
      <c r="S11" s="227"/>
      <c r="T11" s="229"/>
      <c r="U11" s="227">
        <v>1</v>
      </c>
      <c r="V11" s="229">
        <v>1</v>
      </c>
      <c r="W11" s="133"/>
      <c r="X11" s="134"/>
      <c r="Y11" s="227"/>
      <c r="Z11" s="229"/>
      <c r="AA11" s="230">
        <v>1</v>
      </c>
      <c r="AB11" s="373">
        <v>1</v>
      </c>
      <c r="AC11" s="229"/>
      <c r="AD11" s="133"/>
      <c r="AE11" s="133"/>
      <c r="AF11" s="227"/>
      <c r="AG11" s="497">
        <f t="shared" si="0"/>
        <v>10</v>
      </c>
      <c r="AH11" s="483"/>
    </row>
    <row r="12" spans="1:34" ht="28.9" hidden="1" thickBot="1">
      <c r="A12" s="173"/>
      <c r="B12" s="195"/>
      <c r="C12" s="114"/>
      <c r="D12" s="262"/>
      <c r="E12" s="298"/>
      <c r="F12" s="222"/>
      <c r="G12" s="219"/>
      <c r="H12" s="219"/>
      <c r="I12" s="114"/>
      <c r="J12" s="334"/>
      <c r="K12" s="299"/>
      <c r="L12" s="222"/>
      <c r="M12" s="256"/>
      <c r="N12" s="371"/>
      <c r="O12" s="219"/>
      <c r="P12" s="105"/>
      <c r="Q12" s="111"/>
      <c r="R12" s="222"/>
      <c r="S12" s="222"/>
      <c r="T12" s="253"/>
      <c r="U12" s="222"/>
      <c r="V12" s="222"/>
      <c r="W12" s="111"/>
      <c r="X12" s="105"/>
      <c r="Y12" s="222"/>
      <c r="Z12" s="253"/>
      <c r="AA12" s="256"/>
      <c r="AB12" s="379"/>
      <c r="AC12" s="253"/>
      <c r="AD12" s="111"/>
      <c r="AE12" s="111"/>
      <c r="AF12" s="253"/>
      <c r="AG12" s="215">
        <f t="shared" si="0"/>
        <v>0</v>
      </c>
      <c r="AH12" s="479"/>
    </row>
    <row r="13" spans="1:34" ht="28.9" hidden="1" thickBot="1">
      <c r="A13" s="146"/>
      <c r="B13" s="197"/>
      <c r="C13" s="108"/>
      <c r="D13" s="297"/>
      <c r="E13" s="300"/>
      <c r="F13" s="246"/>
      <c r="G13" s="246"/>
      <c r="H13" s="248"/>
      <c r="I13" s="108"/>
      <c r="J13" s="117"/>
      <c r="K13" s="300"/>
      <c r="L13" s="246"/>
      <c r="M13" s="247"/>
      <c r="N13" s="376"/>
      <c r="O13" s="246"/>
      <c r="P13" s="108"/>
      <c r="Q13" s="107"/>
      <c r="R13" s="246"/>
      <c r="S13" s="246"/>
      <c r="T13" s="248"/>
      <c r="U13" s="246"/>
      <c r="V13" s="246"/>
      <c r="W13" s="107"/>
      <c r="X13" s="108"/>
      <c r="Y13" s="246"/>
      <c r="Z13" s="248"/>
      <c r="AA13" s="247"/>
      <c r="AB13" s="376"/>
      <c r="AC13" s="248"/>
      <c r="AD13" s="107"/>
      <c r="AE13" s="107"/>
      <c r="AF13" s="248"/>
      <c r="AG13" s="496">
        <f t="shared" si="0"/>
        <v>0</v>
      </c>
      <c r="AH13" s="480">
        <f>SUM(AG13-AG67)</f>
        <v>0</v>
      </c>
    </row>
    <row r="14" spans="1:34" ht="28.9" hidden="1" thickBot="1">
      <c r="A14" s="187"/>
      <c r="B14" s="196"/>
      <c r="C14" s="133"/>
      <c r="D14" s="227"/>
      <c r="E14" s="228"/>
      <c r="F14" s="227"/>
      <c r="G14" s="227"/>
      <c r="H14" s="227"/>
      <c r="I14" s="133"/>
      <c r="J14" s="133"/>
      <c r="K14" s="229"/>
      <c r="L14" s="227"/>
      <c r="M14" s="229"/>
      <c r="N14" s="373"/>
      <c r="O14" s="227"/>
      <c r="P14" s="135"/>
      <c r="Q14" s="134"/>
      <c r="R14" s="227"/>
      <c r="S14" s="227"/>
      <c r="T14" s="229"/>
      <c r="U14" s="227"/>
      <c r="V14" s="229"/>
      <c r="W14" s="133"/>
      <c r="X14" s="134"/>
      <c r="Y14" s="227"/>
      <c r="Z14" s="229"/>
      <c r="AA14" s="230"/>
      <c r="AB14" s="373"/>
      <c r="AC14" s="229"/>
      <c r="AD14" s="133"/>
      <c r="AE14" s="133"/>
      <c r="AF14" s="227"/>
      <c r="AG14" s="497">
        <f t="shared" si="0"/>
        <v>0</v>
      </c>
      <c r="AH14" s="483"/>
    </row>
    <row r="15" spans="1:34" ht="28.9" thickBot="1">
      <c r="A15" s="173" t="s">
        <v>24</v>
      </c>
      <c r="B15" s="600">
        <v>2</v>
      </c>
      <c r="C15" s="595"/>
      <c r="D15" s="595"/>
      <c r="E15" s="596"/>
      <c r="F15" s="596"/>
      <c r="G15" s="601">
        <v>2</v>
      </c>
      <c r="H15" s="601">
        <v>2</v>
      </c>
      <c r="I15" s="595"/>
      <c r="J15" s="595"/>
      <c r="K15" s="595"/>
      <c r="L15" s="297"/>
      <c r="M15" s="432" t="s">
        <v>18</v>
      </c>
      <c r="N15" s="433" t="s">
        <v>18</v>
      </c>
      <c r="O15" s="428"/>
      <c r="P15" s="122"/>
      <c r="Q15" s="117"/>
      <c r="R15" s="429"/>
      <c r="S15" s="297" t="s">
        <v>18</v>
      </c>
      <c r="T15" s="220" t="s">
        <v>18</v>
      </c>
      <c r="U15" s="423"/>
      <c r="V15" s="220"/>
      <c r="W15" s="122"/>
      <c r="X15" s="425"/>
      <c r="Y15" s="220" t="s">
        <v>18</v>
      </c>
      <c r="Z15" s="220" t="s">
        <v>18</v>
      </c>
      <c r="AA15" s="426"/>
      <c r="AB15" s="382"/>
      <c r="AC15" s="300"/>
      <c r="AD15" s="116"/>
      <c r="AE15" s="116" t="s">
        <v>18</v>
      </c>
      <c r="AF15" s="300" t="s">
        <v>18</v>
      </c>
      <c r="AG15" s="215">
        <f t="shared" si="0"/>
        <v>6</v>
      </c>
      <c r="AH15" s="479"/>
    </row>
    <row r="16" spans="1:34" ht="28.9" thickBot="1">
      <c r="A16" s="146" t="s">
        <v>25</v>
      </c>
      <c r="B16" s="456">
        <v>15</v>
      </c>
      <c r="C16" s="452"/>
      <c r="D16" s="451"/>
      <c r="E16" s="451"/>
      <c r="F16" s="451"/>
      <c r="G16" s="451">
        <v>15</v>
      </c>
      <c r="H16" s="451">
        <v>15</v>
      </c>
      <c r="I16" s="452"/>
      <c r="J16" s="451"/>
      <c r="K16" s="451"/>
      <c r="L16" s="246"/>
      <c r="M16" s="247">
        <v>15</v>
      </c>
      <c r="N16" s="376">
        <v>15</v>
      </c>
      <c r="O16" s="248">
        <v>0.5</v>
      </c>
      <c r="P16" s="108"/>
      <c r="Q16" s="108"/>
      <c r="R16" s="252"/>
      <c r="S16" s="246">
        <v>15</v>
      </c>
      <c r="T16" s="246">
        <v>15</v>
      </c>
      <c r="U16" s="248">
        <v>0.5</v>
      </c>
      <c r="V16" s="246"/>
      <c r="W16" s="108"/>
      <c r="X16" s="108"/>
      <c r="Y16" s="246">
        <v>15</v>
      </c>
      <c r="Z16" s="244">
        <v>15</v>
      </c>
      <c r="AA16" s="252">
        <v>0.5</v>
      </c>
      <c r="AB16" s="376">
        <v>5</v>
      </c>
      <c r="AC16" s="248"/>
      <c r="AD16" s="107"/>
      <c r="AE16" s="107">
        <v>15</v>
      </c>
      <c r="AF16" s="248">
        <v>15</v>
      </c>
      <c r="AG16" s="496">
        <f t="shared" si="0"/>
        <v>171.5</v>
      </c>
      <c r="AH16" s="480">
        <f>SUM(AG16-AG61)</f>
        <v>6</v>
      </c>
    </row>
    <row r="17" spans="1:34" ht="28.9" thickBot="1">
      <c r="A17" s="187" t="s">
        <v>23</v>
      </c>
      <c r="B17" s="597"/>
      <c r="C17" s="589"/>
      <c r="D17" s="589"/>
      <c r="E17" s="598"/>
      <c r="F17" s="589"/>
      <c r="G17" s="589"/>
      <c r="H17" s="589"/>
      <c r="I17" s="589"/>
      <c r="J17" s="589"/>
      <c r="K17" s="591"/>
      <c r="L17" s="304"/>
      <c r="M17" s="306">
        <v>1</v>
      </c>
      <c r="N17" s="398">
        <v>1</v>
      </c>
      <c r="O17" s="306"/>
      <c r="P17" s="177"/>
      <c r="Q17" s="179"/>
      <c r="R17" s="304"/>
      <c r="S17" s="304">
        <v>1</v>
      </c>
      <c r="T17" s="306">
        <v>1</v>
      </c>
      <c r="U17" s="304"/>
      <c r="V17" s="306"/>
      <c r="W17" s="177"/>
      <c r="X17" s="179"/>
      <c r="Y17" s="304">
        <v>1</v>
      </c>
      <c r="Z17" s="304">
        <v>1</v>
      </c>
      <c r="AA17" s="307"/>
      <c r="AB17" s="398"/>
      <c r="AC17" s="306"/>
      <c r="AD17" s="177"/>
      <c r="AE17" s="177">
        <v>1</v>
      </c>
      <c r="AF17" s="304">
        <v>1</v>
      </c>
      <c r="AG17" s="497">
        <f t="shared" si="0"/>
        <v>8</v>
      </c>
      <c r="AH17" s="483"/>
    </row>
    <row r="18" spans="1:34" ht="28.9" thickBot="1">
      <c r="A18" s="173" t="s">
        <v>26</v>
      </c>
      <c r="B18" s="195"/>
      <c r="C18" s="114"/>
      <c r="D18" s="219"/>
      <c r="E18" s="295" t="s">
        <v>18</v>
      </c>
      <c r="F18" s="219" t="s">
        <v>18</v>
      </c>
      <c r="G18" s="219"/>
      <c r="H18" s="219"/>
      <c r="I18" s="114"/>
      <c r="J18" s="114"/>
      <c r="K18" s="222" t="s">
        <v>18</v>
      </c>
      <c r="L18" s="222" t="s">
        <v>18</v>
      </c>
      <c r="M18" s="256"/>
      <c r="N18" s="379"/>
      <c r="O18" s="222"/>
      <c r="P18" s="111"/>
      <c r="Q18" s="105" t="s">
        <v>18</v>
      </c>
      <c r="R18" s="222" t="s">
        <v>18</v>
      </c>
      <c r="S18" s="219"/>
      <c r="T18" s="296"/>
      <c r="U18" s="219"/>
      <c r="V18" s="219"/>
      <c r="W18" s="463">
        <v>2</v>
      </c>
      <c r="X18" s="602">
        <v>2</v>
      </c>
      <c r="Y18" s="462"/>
      <c r="Z18" s="602"/>
      <c r="AA18" s="462"/>
      <c r="AB18" s="462"/>
      <c r="AC18" s="602">
        <v>2</v>
      </c>
      <c r="AD18" s="462">
        <v>2</v>
      </c>
      <c r="AE18" s="648"/>
      <c r="AF18" s="648"/>
      <c r="AG18" s="215">
        <f t="shared" si="0"/>
        <v>8</v>
      </c>
      <c r="AH18" s="479"/>
    </row>
    <row r="19" spans="1:34" ht="28.9" thickBot="1">
      <c r="A19" s="146" t="s">
        <v>27</v>
      </c>
      <c r="B19" s="193"/>
      <c r="C19" s="103"/>
      <c r="D19" s="224"/>
      <c r="E19" s="294">
        <v>15</v>
      </c>
      <c r="F19" s="224">
        <v>15</v>
      </c>
      <c r="G19" s="224">
        <v>0.5</v>
      </c>
      <c r="H19" s="224"/>
      <c r="I19" s="103"/>
      <c r="J19" s="103"/>
      <c r="K19" s="224">
        <v>15</v>
      </c>
      <c r="L19" s="224">
        <v>15</v>
      </c>
      <c r="M19" s="224">
        <v>0.5</v>
      </c>
      <c r="N19" s="372">
        <v>5</v>
      </c>
      <c r="O19" s="224"/>
      <c r="P19" s="103"/>
      <c r="Q19" s="103">
        <v>15</v>
      </c>
      <c r="R19" s="224">
        <v>15</v>
      </c>
      <c r="S19" s="224">
        <v>0.5</v>
      </c>
      <c r="T19" s="224"/>
      <c r="U19" s="224"/>
      <c r="V19" s="224"/>
      <c r="W19" s="619">
        <v>15</v>
      </c>
      <c r="X19" s="619">
        <v>15</v>
      </c>
      <c r="Y19" s="619"/>
      <c r="Z19" s="619"/>
      <c r="AA19" s="619"/>
      <c r="AB19" s="619"/>
      <c r="AC19" s="619">
        <v>15</v>
      </c>
      <c r="AD19" s="619">
        <v>15</v>
      </c>
      <c r="AE19" s="619"/>
      <c r="AF19" s="649"/>
      <c r="AG19" s="496">
        <f t="shared" si="0"/>
        <v>156.5</v>
      </c>
      <c r="AH19" s="480">
        <f>SUM(AG19-AG61)</f>
        <v>-9</v>
      </c>
    </row>
    <row r="20" spans="1:34" ht="25.9" customHeight="1" thickBot="1">
      <c r="A20" s="187" t="s">
        <v>28</v>
      </c>
      <c r="B20" s="196"/>
      <c r="C20" s="133"/>
      <c r="D20" s="227"/>
      <c r="E20" s="228">
        <v>1</v>
      </c>
      <c r="F20" s="227">
        <v>1</v>
      </c>
      <c r="G20" s="227"/>
      <c r="H20" s="227"/>
      <c r="I20" s="133"/>
      <c r="J20" s="133"/>
      <c r="K20" s="229">
        <v>1</v>
      </c>
      <c r="L20" s="227">
        <v>1</v>
      </c>
      <c r="M20" s="229"/>
      <c r="N20" s="373"/>
      <c r="O20" s="229"/>
      <c r="P20" s="133"/>
      <c r="Q20" s="134">
        <v>1</v>
      </c>
      <c r="R20" s="227">
        <v>1</v>
      </c>
      <c r="S20" s="227"/>
      <c r="T20" s="229"/>
      <c r="U20" s="227"/>
      <c r="V20" s="227"/>
      <c r="W20" s="471"/>
      <c r="X20" s="472"/>
      <c r="Y20" s="453"/>
      <c r="Z20" s="472"/>
      <c r="AA20" s="453"/>
      <c r="AB20" s="453"/>
      <c r="AC20" s="472"/>
      <c r="AD20" s="453"/>
      <c r="AE20" s="471"/>
      <c r="AF20" s="471"/>
      <c r="AG20" s="497">
        <f t="shared" si="0"/>
        <v>6</v>
      </c>
      <c r="AH20" s="483"/>
    </row>
    <row r="21" spans="1:34" ht="28.9" thickBot="1">
      <c r="A21" s="173" t="s">
        <v>29</v>
      </c>
      <c r="B21" s="198"/>
      <c r="C21" s="102"/>
      <c r="D21" s="251" t="s">
        <v>18</v>
      </c>
      <c r="E21" s="222" t="s">
        <v>18</v>
      </c>
      <c r="F21" s="253"/>
      <c r="G21" s="251"/>
      <c r="H21" s="251"/>
      <c r="I21" s="102"/>
      <c r="J21" s="102" t="s">
        <v>18</v>
      </c>
      <c r="K21" s="251" t="s">
        <v>18</v>
      </c>
      <c r="L21" s="253"/>
      <c r="M21" s="256"/>
      <c r="N21" s="399"/>
      <c r="O21" s="251"/>
      <c r="P21" s="105" t="s">
        <v>18</v>
      </c>
      <c r="Q21" s="105" t="s">
        <v>18</v>
      </c>
      <c r="R21" s="253"/>
      <c r="S21" s="222"/>
      <c r="T21" s="222"/>
      <c r="U21" s="222"/>
      <c r="V21" s="222" t="s">
        <v>18</v>
      </c>
      <c r="W21" s="105" t="s">
        <v>18</v>
      </c>
      <c r="X21" s="111"/>
      <c r="Y21" s="222"/>
      <c r="Z21" s="256"/>
      <c r="AA21" s="256"/>
      <c r="AB21" s="379" t="s">
        <v>18</v>
      </c>
      <c r="AC21" s="222" t="s">
        <v>18</v>
      </c>
      <c r="AD21" s="105"/>
      <c r="AE21" s="111"/>
      <c r="AF21" s="253"/>
      <c r="AG21" s="215">
        <f t="shared" si="0"/>
        <v>0</v>
      </c>
      <c r="AH21" s="479"/>
    </row>
    <row r="22" spans="1:34" ht="28.9" thickBot="1">
      <c r="A22" s="146" t="s">
        <v>30</v>
      </c>
      <c r="B22" s="197"/>
      <c r="C22" s="108"/>
      <c r="D22" s="246">
        <v>15</v>
      </c>
      <c r="E22" s="246">
        <v>15</v>
      </c>
      <c r="F22" s="248">
        <v>0.5</v>
      </c>
      <c r="G22" s="246"/>
      <c r="H22" s="246"/>
      <c r="I22" s="107"/>
      <c r="J22" s="108">
        <v>15</v>
      </c>
      <c r="K22" s="246">
        <v>15</v>
      </c>
      <c r="L22" s="248">
        <v>0.5</v>
      </c>
      <c r="M22" s="247"/>
      <c r="N22" s="376">
        <v>4</v>
      </c>
      <c r="O22" s="248"/>
      <c r="P22" s="108">
        <v>15</v>
      </c>
      <c r="Q22" s="108">
        <v>15</v>
      </c>
      <c r="R22" s="248">
        <v>0.5</v>
      </c>
      <c r="S22" s="246"/>
      <c r="T22" s="246"/>
      <c r="U22" s="246"/>
      <c r="V22" s="246">
        <v>15</v>
      </c>
      <c r="W22" s="108">
        <v>15</v>
      </c>
      <c r="X22" s="107">
        <v>0.5</v>
      </c>
      <c r="Y22" s="246"/>
      <c r="Z22" s="247"/>
      <c r="AA22" s="247"/>
      <c r="AB22" s="376">
        <v>15</v>
      </c>
      <c r="AC22" s="246">
        <v>15</v>
      </c>
      <c r="AD22" s="108">
        <v>0.5</v>
      </c>
      <c r="AE22" s="107"/>
      <c r="AF22" s="248"/>
      <c r="AG22" s="496">
        <f t="shared" si="0"/>
        <v>156.5</v>
      </c>
      <c r="AH22" s="480">
        <f>SUM(AG22-AG61)</f>
        <v>-9</v>
      </c>
    </row>
    <row r="23" spans="1:34" ht="25.9" customHeight="1" thickBot="1">
      <c r="A23" s="187" t="s">
        <v>28</v>
      </c>
      <c r="B23" s="196"/>
      <c r="C23" s="133"/>
      <c r="D23" s="227">
        <v>1</v>
      </c>
      <c r="E23" s="227">
        <v>1</v>
      </c>
      <c r="F23" s="227"/>
      <c r="G23" s="227"/>
      <c r="H23" s="227"/>
      <c r="I23" s="133"/>
      <c r="J23" s="133">
        <v>1</v>
      </c>
      <c r="K23" s="227">
        <v>1</v>
      </c>
      <c r="L23" s="227"/>
      <c r="M23" s="230"/>
      <c r="N23" s="373"/>
      <c r="O23" s="227"/>
      <c r="P23" s="133">
        <v>1</v>
      </c>
      <c r="Q23" s="134">
        <v>1</v>
      </c>
      <c r="R23" s="227"/>
      <c r="S23" s="227"/>
      <c r="T23" s="227"/>
      <c r="U23" s="227"/>
      <c r="V23" s="227">
        <v>1</v>
      </c>
      <c r="W23" s="133">
        <v>1</v>
      </c>
      <c r="X23" s="134"/>
      <c r="Y23" s="227"/>
      <c r="Z23" s="227"/>
      <c r="AA23" s="230"/>
      <c r="AB23" s="373">
        <v>1</v>
      </c>
      <c r="AC23" s="227">
        <v>1</v>
      </c>
      <c r="AD23" s="133"/>
      <c r="AE23" s="133"/>
      <c r="AF23" s="227"/>
      <c r="AG23" s="497">
        <f t="shared" si="0"/>
        <v>10</v>
      </c>
      <c r="AH23" s="483"/>
    </row>
    <row r="24" spans="1:34" ht="28.9" hidden="1" thickBot="1">
      <c r="A24" s="173"/>
      <c r="B24" s="198"/>
      <c r="C24" s="102"/>
      <c r="D24" s="251"/>
      <c r="E24" s="222"/>
      <c r="F24" s="253"/>
      <c r="G24" s="251"/>
      <c r="H24" s="251"/>
      <c r="I24" s="102"/>
      <c r="J24" s="102"/>
      <c r="K24" s="251"/>
      <c r="L24" s="253"/>
      <c r="M24" s="256"/>
      <c r="N24" s="399"/>
      <c r="O24" s="251"/>
      <c r="P24" s="105"/>
      <c r="Q24" s="105"/>
      <c r="R24" s="253"/>
      <c r="S24" s="222"/>
      <c r="T24" s="222"/>
      <c r="U24" s="222"/>
      <c r="V24" s="222"/>
      <c r="W24" s="105"/>
      <c r="X24" s="111"/>
      <c r="Y24" s="222"/>
      <c r="Z24" s="256"/>
      <c r="AA24" s="256"/>
      <c r="AB24" s="379"/>
      <c r="AC24" s="222"/>
      <c r="AD24" s="105"/>
      <c r="AE24" s="111"/>
      <c r="AF24" s="253"/>
      <c r="AG24" s="215">
        <f t="shared" si="0"/>
        <v>0</v>
      </c>
      <c r="AH24" s="479"/>
    </row>
    <row r="25" spans="1:34" ht="28.9" hidden="1" thickBot="1">
      <c r="A25" s="146"/>
      <c r="B25" s="197"/>
      <c r="C25" s="108"/>
      <c r="D25" s="246"/>
      <c r="E25" s="246"/>
      <c r="F25" s="248"/>
      <c r="G25" s="246"/>
      <c r="H25" s="246"/>
      <c r="I25" s="107"/>
      <c r="J25" s="108"/>
      <c r="K25" s="246"/>
      <c r="L25" s="248"/>
      <c r="M25" s="247"/>
      <c r="N25" s="376"/>
      <c r="O25" s="248"/>
      <c r="P25" s="108"/>
      <c r="Q25" s="108"/>
      <c r="R25" s="248"/>
      <c r="S25" s="246"/>
      <c r="T25" s="246"/>
      <c r="U25" s="246"/>
      <c r="V25" s="246"/>
      <c r="W25" s="108"/>
      <c r="X25" s="107"/>
      <c r="Y25" s="246"/>
      <c r="Z25" s="247"/>
      <c r="AA25" s="247"/>
      <c r="AB25" s="376"/>
      <c r="AC25" s="246"/>
      <c r="AD25" s="108"/>
      <c r="AE25" s="107"/>
      <c r="AF25" s="248"/>
      <c r="AG25" s="496">
        <f t="shared" si="0"/>
        <v>0</v>
      </c>
      <c r="AH25" s="480">
        <f>SUM(AG25-AG61)</f>
        <v>-165.5</v>
      </c>
    </row>
    <row r="26" spans="1:34" ht="28.9" hidden="1" thickBot="1">
      <c r="A26" s="187"/>
      <c r="B26" s="196"/>
      <c r="C26" s="133"/>
      <c r="D26" s="227"/>
      <c r="E26" s="227"/>
      <c r="F26" s="227"/>
      <c r="G26" s="227"/>
      <c r="H26" s="227"/>
      <c r="I26" s="133"/>
      <c r="J26" s="133"/>
      <c r="K26" s="227"/>
      <c r="L26" s="227"/>
      <c r="M26" s="230"/>
      <c r="N26" s="373"/>
      <c r="O26" s="227"/>
      <c r="P26" s="133"/>
      <c r="Q26" s="134"/>
      <c r="R26" s="227"/>
      <c r="S26" s="227"/>
      <c r="T26" s="227"/>
      <c r="U26" s="227"/>
      <c r="V26" s="227"/>
      <c r="W26" s="133"/>
      <c r="X26" s="134"/>
      <c r="Y26" s="227"/>
      <c r="Z26" s="227"/>
      <c r="AA26" s="230"/>
      <c r="AB26" s="373"/>
      <c r="AC26" s="227"/>
      <c r="AD26" s="133"/>
      <c r="AE26" s="133"/>
      <c r="AF26" s="227"/>
      <c r="AG26" s="497">
        <f t="shared" si="0"/>
        <v>0</v>
      </c>
      <c r="AH26" s="483"/>
    </row>
    <row r="27" spans="1:34" ht="28.9" thickBot="1">
      <c r="A27" s="465" t="s">
        <v>31</v>
      </c>
      <c r="B27" s="197" t="s">
        <v>18</v>
      </c>
      <c r="C27" s="102" t="s">
        <v>18</v>
      </c>
      <c r="D27" s="222"/>
      <c r="E27" s="253"/>
      <c r="F27" s="246"/>
      <c r="G27" s="246"/>
      <c r="H27" s="246" t="s">
        <v>18</v>
      </c>
      <c r="I27" s="102" t="s">
        <v>18</v>
      </c>
      <c r="J27" s="105"/>
      <c r="K27" s="253"/>
      <c r="L27" s="248"/>
      <c r="M27" s="247"/>
      <c r="N27" s="376" t="s">
        <v>18</v>
      </c>
      <c r="O27" s="251" t="s">
        <v>18</v>
      </c>
      <c r="P27" s="105"/>
      <c r="Q27" s="111"/>
      <c r="R27" s="246"/>
      <c r="S27" s="246"/>
      <c r="T27" s="248" t="s">
        <v>18</v>
      </c>
      <c r="U27" s="251" t="s">
        <v>18</v>
      </c>
      <c r="V27" s="222"/>
      <c r="W27" s="111"/>
      <c r="X27" s="107"/>
      <c r="Y27" s="246"/>
      <c r="Z27" s="246" t="s">
        <v>18</v>
      </c>
      <c r="AA27" s="251" t="s">
        <v>18</v>
      </c>
      <c r="AB27" s="379"/>
      <c r="AC27" s="253"/>
      <c r="AD27" s="108"/>
      <c r="AE27" s="107"/>
      <c r="AF27" s="248" t="s">
        <v>18</v>
      </c>
      <c r="AG27" s="215">
        <f t="shared" si="0"/>
        <v>0</v>
      </c>
      <c r="AH27" s="479"/>
    </row>
    <row r="28" spans="1:34" ht="28.9" thickBot="1">
      <c r="A28" s="146" t="s">
        <v>33</v>
      </c>
      <c r="B28" s="197">
        <v>15</v>
      </c>
      <c r="C28" s="108">
        <v>15</v>
      </c>
      <c r="D28" s="246">
        <v>0.5</v>
      </c>
      <c r="E28" s="248"/>
      <c r="F28" s="246"/>
      <c r="G28" s="246"/>
      <c r="H28" s="246">
        <v>15</v>
      </c>
      <c r="I28" s="108">
        <v>15</v>
      </c>
      <c r="J28" s="108">
        <v>0.5</v>
      </c>
      <c r="K28" s="248"/>
      <c r="L28" s="246"/>
      <c r="M28" s="247"/>
      <c r="N28" s="376">
        <v>15</v>
      </c>
      <c r="O28" s="246">
        <v>15</v>
      </c>
      <c r="P28" s="108">
        <v>0.5</v>
      </c>
      <c r="Q28" s="107"/>
      <c r="R28" s="246"/>
      <c r="S28" s="246"/>
      <c r="T28" s="248">
        <v>15</v>
      </c>
      <c r="U28" s="246">
        <v>15</v>
      </c>
      <c r="V28" s="246">
        <v>0.5</v>
      </c>
      <c r="W28" s="107"/>
      <c r="X28" s="108"/>
      <c r="Y28" s="246"/>
      <c r="Z28" s="246">
        <v>15</v>
      </c>
      <c r="AA28" s="246">
        <v>15</v>
      </c>
      <c r="AB28" s="376">
        <v>4.5</v>
      </c>
      <c r="AC28" s="248"/>
      <c r="AD28" s="108"/>
      <c r="AE28" s="107"/>
      <c r="AF28" s="248">
        <v>15</v>
      </c>
      <c r="AG28" s="496">
        <f t="shared" si="0"/>
        <v>171.5</v>
      </c>
      <c r="AH28" s="480">
        <f>SUM(AG28-AG61)</f>
        <v>6</v>
      </c>
    </row>
    <row r="29" spans="1:34" ht="28.9" thickBot="1">
      <c r="A29" s="188" t="s">
        <v>34</v>
      </c>
      <c r="B29" s="196">
        <v>1</v>
      </c>
      <c r="C29" s="133">
        <v>1</v>
      </c>
      <c r="D29" s="227"/>
      <c r="E29" s="227"/>
      <c r="F29" s="227"/>
      <c r="G29" s="227"/>
      <c r="H29" s="227">
        <v>1</v>
      </c>
      <c r="I29" s="133">
        <v>1</v>
      </c>
      <c r="J29" s="133"/>
      <c r="K29" s="227"/>
      <c r="L29" s="228"/>
      <c r="M29" s="229"/>
      <c r="N29" s="373">
        <v>1</v>
      </c>
      <c r="O29" s="227">
        <v>1</v>
      </c>
      <c r="P29" s="133"/>
      <c r="Q29" s="133"/>
      <c r="R29" s="227"/>
      <c r="S29" s="227"/>
      <c r="T29" s="229">
        <v>1</v>
      </c>
      <c r="U29" s="227">
        <v>1</v>
      </c>
      <c r="V29" s="227"/>
      <c r="W29" s="133"/>
      <c r="X29" s="133"/>
      <c r="Y29" s="227"/>
      <c r="Z29" s="227">
        <v>1</v>
      </c>
      <c r="AA29" s="227">
        <v>1</v>
      </c>
      <c r="AB29" s="373"/>
      <c r="AC29" s="227"/>
      <c r="AD29" s="133"/>
      <c r="AE29" s="135"/>
      <c r="AF29" s="228">
        <v>1</v>
      </c>
      <c r="AG29" s="497">
        <f t="shared" si="0"/>
        <v>11</v>
      </c>
      <c r="AH29" s="483"/>
    </row>
    <row r="30" spans="1:34" ht="28.9" thickBot="1">
      <c r="A30" s="173" t="s">
        <v>74</v>
      </c>
      <c r="B30" s="195"/>
      <c r="C30" s="114"/>
      <c r="D30" s="219"/>
      <c r="E30" s="295"/>
      <c r="F30" s="219" t="s">
        <v>18</v>
      </c>
      <c r="G30" s="219" t="s">
        <v>18</v>
      </c>
      <c r="H30" s="219"/>
      <c r="I30" s="114"/>
      <c r="J30" s="114"/>
      <c r="K30" s="222"/>
      <c r="L30" s="222" t="s">
        <v>18</v>
      </c>
      <c r="M30" s="256" t="s">
        <v>18</v>
      </c>
      <c r="N30" s="379"/>
      <c r="O30" s="222"/>
      <c r="P30" s="111"/>
      <c r="Q30" s="105"/>
      <c r="R30" s="222" t="s">
        <v>18</v>
      </c>
      <c r="S30" s="219" t="s">
        <v>18</v>
      </c>
      <c r="T30" s="296"/>
      <c r="U30" s="219"/>
      <c r="V30" s="219"/>
      <c r="W30" s="130"/>
      <c r="X30" s="118" t="s">
        <v>18</v>
      </c>
      <c r="Y30" s="219" t="s">
        <v>18</v>
      </c>
      <c r="Z30" s="296"/>
      <c r="AA30" s="219"/>
      <c r="AB30" s="371"/>
      <c r="AC30" s="296"/>
      <c r="AD30" s="114" t="s">
        <v>18</v>
      </c>
      <c r="AE30" s="130" t="s">
        <v>18</v>
      </c>
      <c r="AF30" s="295"/>
      <c r="AG30" s="215">
        <f t="shared" si="0"/>
        <v>0</v>
      </c>
      <c r="AH30" s="479"/>
    </row>
    <row r="31" spans="1:34" ht="28.9" thickBot="1">
      <c r="A31" s="146" t="s">
        <v>36</v>
      </c>
      <c r="B31" s="193"/>
      <c r="C31" s="103"/>
      <c r="D31" s="224"/>
      <c r="E31" s="294"/>
      <c r="F31" s="224">
        <v>15</v>
      </c>
      <c r="G31" s="224">
        <v>15</v>
      </c>
      <c r="H31" s="224">
        <v>0.5</v>
      </c>
      <c r="I31" s="103"/>
      <c r="J31" s="103"/>
      <c r="K31" s="224"/>
      <c r="L31" s="224">
        <v>15</v>
      </c>
      <c r="M31" s="224">
        <v>15</v>
      </c>
      <c r="N31" s="372">
        <v>4.5</v>
      </c>
      <c r="O31" s="224"/>
      <c r="P31" s="103"/>
      <c r="Q31" s="103"/>
      <c r="R31" s="224">
        <v>15</v>
      </c>
      <c r="S31" s="224">
        <v>15</v>
      </c>
      <c r="T31" s="224">
        <v>0.5</v>
      </c>
      <c r="U31" s="224"/>
      <c r="V31" s="224"/>
      <c r="W31" s="103"/>
      <c r="X31" s="103">
        <v>15</v>
      </c>
      <c r="Y31" s="224">
        <v>15</v>
      </c>
      <c r="Z31" s="224">
        <v>0.5</v>
      </c>
      <c r="AA31" s="224"/>
      <c r="AB31" s="372">
        <v>4</v>
      </c>
      <c r="AC31" s="224"/>
      <c r="AD31" s="103">
        <v>15</v>
      </c>
      <c r="AE31" s="103">
        <v>15</v>
      </c>
      <c r="AF31" s="294">
        <v>0.5</v>
      </c>
      <c r="AG31" s="496">
        <f t="shared" si="0"/>
        <v>160.5</v>
      </c>
      <c r="AH31" s="480">
        <f>SUM(AG31-AG61)</f>
        <v>-5</v>
      </c>
    </row>
    <row r="32" spans="1:34" ht="25.9" customHeight="1" thickBot="1">
      <c r="A32" s="187" t="s">
        <v>34</v>
      </c>
      <c r="B32" s="196"/>
      <c r="C32" s="133"/>
      <c r="D32" s="227"/>
      <c r="E32" s="228"/>
      <c r="F32" s="227">
        <v>1</v>
      </c>
      <c r="G32" s="227">
        <v>1</v>
      </c>
      <c r="H32" s="227"/>
      <c r="I32" s="133"/>
      <c r="J32" s="133"/>
      <c r="K32" s="229"/>
      <c r="L32" s="227">
        <v>1</v>
      </c>
      <c r="M32" s="229">
        <v>1</v>
      </c>
      <c r="N32" s="373"/>
      <c r="O32" s="229"/>
      <c r="P32" s="133"/>
      <c r="Q32" s="134"/>
      <c r="R32" s="227">
        <v>1</v>
      </c>
      <c r="S32" s="227">
        <v>1</v>
      </c>
      <c r="T32" s="229"/>
      <c r="U32" s="227"/>
      <c r="V32" s="227"/>
      <c r="W32" s="135"/>
      <c r="X32" s="134">
        <v>1</v>
      </c>
      <c r="Y32" s="227">
        <v>1</v>
      </c>
      <c r="Z32" s="229"/>
      <c r="AA32" s="227"/>
      <c r="AB32" s="373"/>
      <c r="AC32" s="229"/>
      <c r="AD32" s="133">
        <v>1</v>
      </c>
      <c r="AE32" s="135">
        <v>1</v>
      </c>
      <c r="AF32" s="228"/>
      <c r="AG32" s="320">
        <f t="shared" si="0"/>
        <v>10</v>
      </c>
      <c r="AH32" s="481"/>
    </row>
    <row r="33" spans="1:35" ht="28.9" thickBot="1">
      <c r="A33" s="173" t="s">
        <v>37</v>
      </c>
      <c r="B33" s="198"/>
      <c r="C33" s="102"/>
      <c r="D33" s="251"/>
      <c r="E33" s="222"/>
      <c r="F33" s="253"/>
      <c r="G33" s="251"/>
      <c r="H33" s="251"/>
      <c r="I33" s="102"/>
      <c r="J33" s="102"/>
      <c r="K33" s="251"/>
      <c r="L33" s="253"/>
      <c r="M33" s="256"/>
      <c r="N33" s="251"/>
      <c r="O33" s="251"/>
      <c r="P33" s="105"/>
      <c r="Q33" s="105"/>
      <c r="R33" s="253"/>
      <c r="S33" s="222"/>
      <c r="T33" s="222"/>
      <c r="U33" s="222"/>
      <c r="V33" s="222"/>
      <c r="W33" s="105"/>
      <c r="X33" s="111"/>
      <c r="Y33" s="222"/>
      <c r="Z33" s="256"/>
      <c r="AA33" s="256"/>
      <c r="AB33" s="222"/>
      <c r="AC33" s="222"/>
      <c r="AD33" s="105"/>
      <c r="AE33" s="111"/>
      <c r="AF33" s="253"/>
      <c r="AG33" s="215">
        <v>0</v>
      </c>
      <c r="AH33" s="477"/>
    </row>
    <row r="34" spans="1:35" ht="28.9" thickBot="1">
      <c r="A34" s="146" t="s">
        <v>38</v>
      </c>
      <c r="B34" s="197"/>
      <c r="C34" s="108"/>
      <c r="D34" s="246"/>
      <c r="E34" s="246"/>
      <c r="F34" s="248"/>
      <c r="G34" s="246"/>
      <c r="H34" s="246"/>
      <c r="I34" s="107"/>
      <c r="J34" s="108"/>
      <c r="K34" s="246"/>
      <c r="L34" s="248"/>
      <c r="M34" s="247"/>
      <c r="N34" s="246"/>
      <c r="O34" s="248"/>
      <c r="P34" s="108"/>
      <c r="Q34" s="108"/>
      <c r="R34" s="248"/>
      <c r="S34" s="246"/>
      <c r="T34" s="246"/>
      <c r="U34" s="246"/>
      <c r="V34" s="246"/>
      <c r="W34" s="108"/>
      <c r="X34" s="107"/>
      <c r="Y34" s="246"/>
      <c r="Z34" s="247"/>
      <c r="AA34" s="247"/>
      <c r="AB34" s="246"/>
      <c r="AC34" s="246"/>
      <c r="AD34" s="108"/>
      <c r="AE34" s="107"/>
      <c r="AF34" s="248"/>
      <c r="AG34" s="496">
        <f>SUM(B34:AF34)</f>
        <v>0</v>
      </c>
      <c r="AH34" s="484"/>
    </row>
    <row r="35" spans="1:35" ht="28.9" thickBot="1">
      <c r="A35" s="187" t="s">
        <v>39</v>
      </c>
      <c r="B35" s="196"/>
      <c r="C35" s="133"/>
      <c r="D35" s="227"/>
      <c r="E35" s="227"/>
      <c r="F35" s="227"/>
      <c r="G35" s="227"/>
      <c r="H35" s="227"/>
      <c r="I35" s="133"/>
      <c r="J35" s="133"/>
      <c r="K35" s="227"/>
      <c r="L35" s="227"/>
      <c r="M35" s="230"/>
      <c r="N35" s="227"/>
      <c r="O35" s="227"/>
      <c r="P35" s="133"/>
      <c r="Q35" s="134"/>
      <c r="R35" s="227"/>
      <c r="S35" s="227"/>
      <c r="T35" s="227"/>
      <c r="U35" s="227"/>
      <c r="V35" s="227"/>
      <c r="W35" s="133"/>
      <c r="X35" s="134"/>
      <c r="Y35" s="227"/>
      <c r="Z35" s="227"/>
      <c r="AA35" s="230"/>
      <c r="AB35" s="227"/>
      <c r="AC35" s="227"/>
      <c r="AD35" s="133"/>
      <c r="AE35" s="133"/>
      <c r="AF35" s="227"/>
      <c r="AG35" s="497">
        <f>SUM(B35:AF35)</f>
        <v>0</v>
      </c>
      <c r="AH35" s="478"/>
    </row>
    <row r="36" spans="1:35" ht="28.9" thickBot="1">
      <c r="A36" s="465"/>
      <c r="B36" s="198"/>
      <c r="C36" s="102"/>
      <c r="D36" s="251"/>
      <c r="E36" s="222"/>
      <c r="F36" s="253"/>
      <c r="G36" s="251"/>
      <c r="H36" s="251"/>
      <c r="I36" s="102"/>
      <c r="J36" s="102"/>
      <c r="K36" s="251"/>
      <c r="L36" s="253"/>
      <c r="M36" s="256"/>
      <c r="N36" s="251"/>
      <c r="O36" s="251"/>
      <c r="P36" s="105"/>
      <c r="Q36" s="105"/>
      <c r="R36" s="253"/>
      <c r="S36" s="222"/>
      <c r="T36" s="222"/>
      <c r="U36" s="222"/>
      <c r="V36" s="222"/>
      <c r="W36" s="105"/>
      <c r="X36" s="111"/>
      <c r="Y36" s="222"/>
      <c r="Z36" s="256"/>
      <c r="AA36" s="256"/>
      <c r="AB36" s="222"/>
      <c r="AC36" s="222"/>
      <c r="AD36" s="105"/>
      <c r="AE36" s="111"/>
      <c r="AF36" s="253"/>
      <c r="AG36" s="215">
        <v>0</v>
      </c>
      <c r="AH36" s="477"/>
    </row>
    <row r="37" spans="1:35" ht="28.9" thickBot="1">
      <c r="A37" s="146"/>
      <c r="B37" s="197"/>
      <c r="C37" s="108"/>
      <c r="D37" s="246"/>
      <c r="E37" s="246"/>
      <c r="F37" s="248"/>
      <c r="G37" s="246"/>
      <c r="H37" s="246"/>
      <c r="I37" s="107"/>
      <c r="J37" s="108"/>
      <c r="K37" s="246"/>
      <c r="L37" s="248"/>
      <c r="M37" s="247"/>
      <c r="N37" s="246"/>
      <c r="O37" s="248"/>
      <c r="P37" s="108"/>
      <c r="Q37" s="108"/>
      <c r="R37" s="248"/>
      <c r="S37" s="246"/>
      <c r="T37" s="246"/>
      <c r="U37" s="246"/>
      <c r="V37" s="246"/>
      <c r="W37" s="108"/>
      <c r="X37" s="107"/>
      <c r="Y37" s="246"/>
      <c r="Z37" s="247"/>
      <c r="AA37" s="247"/>
      <c r="AB37" s="246"/>
      <c r="AC37" s="246"/>
      <c r="AD37" s="108"/>
      <c r="AE37" s="107"/>
      <c r="AF37" s="248"/>
      <c r="AG37" s="496">
        <f>SUM(B37:AF37)</f>
        <v>0</v>
      </c>
      <c r="AH37" s="484"/>
    </row>
    <row r="38" spans="1:35" ht="28.9" thickBot="1">
      <c r="A38" s="188"/>
      <c r="B38" s="196"/>
      <c r="C38" s="133"/>
      <c r="D38" s="227"/>
      <c r="E38" s="227"/>
      <c r="F38" s="227"/>
      <c r="G38" s="227"/>
      <c r="H38" s="227"/>
      <c r="I38" s="133"/>
      <c r="J38" s="133"/>
      <c r="K38" s="227"/>
      <c r="L38" s="227"/>
      <c r="M38" s="230"/>
      <c r="N38" s="227"/>
      <c r="O38" s="227"/>
      <c r="P38" s="133"/>
      <c r="Q38" s="134"/>
      <c r="R38" s="227"/>
      <c r="S38" s="227"/>
      <c r="T38" s="227"/>
      <c r="U38" s="227"/>
      <c r="V38" s="227"/>
      <c r="W38" s="133"/>
      <c r="X38" s="134"/>
      <c r="Y38" s="227"/>
      <c r="Z38" s="227"/>
      <c r="AA38" s="230"/>
      <c r="AB38" s="227"/>
      <c r="AC38" s="227"/>
      <c r="AD38" s="133"/>
      <c r="AE38" s="133"/>
      <c r="AF38" s="227"/>
      <c r="AG38" s="497">
        <f>SUM(B38:AF38)</f>
        <v>0</v>
      </c>
      <c r="AH38" s="478"/>
    </row>
    <row r="39" spans="1:35" ht="29.45" thickBot="1">
      <c r="A39" s="173"/>
      <c r="B39" s="198"/>
      <c r="C39" s="102"/>
      <c r="D39" s="251"/>
      <c r="E39" s="222"/>
      <c r="F39" s="253"/>
      <c r="G39" s="251"/>
      <c r="H39" s="251"/>
      <c r="I39" s="102"/>
      <c r="J39" s="102"/>
      <c r="K39" s="251"/>
      <c r="L39" s="253"/>
      <c r="M39" s="256"/>
      <c r="N39" s="251"/>
      <c r="O39" s="251"/>
      <c r="P39" s="105"/>
      <c r="Q39" s="105"/>
      <c r="R39" s="253"/>
      <c r="S39" s="222"/>
      <c r="T39" s="222"/>
      <c r="U39" s="222"/>
      <c r="V39" s="222"/>
      <c r="W39" s="105"/>
      <c r="X39" s="111"/>
      <c r="Y39" s="222"/>
      <c r="Z39" s="256"/>
      <c r="AA39" s="256"/>
      <c r="AB39" s="222"/>
      <c r="AC39" s="222"/>
      <c r="AD39" s="105"/>
      <c r="AE39" s="111"/>
      <c r="AF39" s="253"/>
      <c r="AG39" s="215">
        <v>0</v>
      </c>
      <c r="AH39" s="6"/>
    </row>
    <row r="40" spans="1:35" ht="29.45" thickBot="1">
      <c r="A40" s="146"/>
      <c r="B40" s="197"/>
      <c r="C40" s="108"/>
      <c r="D40" s="246"/>
      <c r="E40" s="246"/>
      <c r="F40" s="248"/>
      <c r="G40" s="246"/>
      <c r="H40" s="246"/>
      <c r="I40" s="107"/>
      <c r="J40" s="108"/>
      <c r="K40" s="246"/>
      <c r="L40" s="248"/>
      <c r="M40" s="247"/>
      <c r="N40" s="246"/>
      <c r="O40" s="248"/>
      <c r="P40" s="108"/>
      <c r="Q40" s="108"/>
      <c r="R40" s="248"/>
      <c r="S40" s="246"/>
      <c r="T40" s="246"/>
      <c r="U40" s="246"/>
      <c r="V40" s="246"/>
      <c r="W40" s="108"/>
      <c r="X40" s="107"/>
      <c r="Y40" s="246"/>
      <c r="Z40" s="247"/>
      <c r="AA40" s="247"/>
      <c r="AB40" s="246"/>
      <c r="AC40" s="246"/>
      <c r="AD40" s="108"/>
      <c r="AE40" s="107"/>
      <c r="AF40" s="248"/>
      <c r="AG40" s="496">
        <f>SUM(B40:AF40)</f>
        <v>0</v>
      </c>
      <c r="AH40" s="6"/>
      <c r="AI40" s="152"/>
    </row>
    <row r="41" spans="1:35" ht="29.45" thickBot="1">
      <c r="A41" s="190"/>
      <c r="B41" s="196"/>
      <c r="C41" s="133"/>
      <c r="D41" s="227"/>
      <c r="E41" s="227"/>
      <c r="F41" s="227"/>
      <c r="G41" s="227"/>
      <c r="H41" s="227"/>
      <c r="I41" s="133"/>
      <c r="J41" s="133"/>
      <c r="K41" s="227"/>
      <c r="L41" s="227"/>
      <c r="M41" s="230"/>
      <c r="N41" s="227"/>
      <c r="O41" s="227"/>
      <c r="P41" s="133"/>
      <c r="Q41" s="134"/>
      <c r="R41" s="227"/>
      <c r="S41" s="227"/>
      <c r="T41" s="227"/>
      <c r="U41" s="227"/>
      <c r="V41" s="227"/>
      <c r="W41" s="133"/>
      <c r="X41" s="134"/>
      <c r="Y41" s="227"/>
      <c r="Z41" s="227"/>
      <c r="AA41" s="230"/>
      <c r="AB41" s="227"/>
      <c r="AC41" s="227"/>
      <c r="AD41" s="133"/>
      <c r="AE41" s="133"/>
      <c r="AF41" s="227"/>
      <c r="AG41" s="497">
        <f>SUM(B41:AF41)</f>
        <v>0</v>
      </c>
      <c r="AH41" s="6"/>
      <c r="AI41" s="152"/>
    </row>
    <row r="42" spans="1:35" ht="29.45" thickBot="1">
      <c r="A42" s="173"/>
      <c r="B42" s="198"/>
      <c r="C42" s="102"/>
      <c r="D42" s="251"/>
      <c r="E42" s="222"/>
      <c r="F42" s="253"/>
      <c r="G42" s="251"/>
      <c r="H42" s="251"/>
      <c r="I42" s="102"/>
      <c r="J42" s="102"/>
      <c r="K42" s="251"/>
      <c r="L42" s="253"/>
      <c r="M42" s="256"/>
      <c r="N42" s="251"/>
      <c r="O42" s="251"/>
      <c r="P42" s="105"/>
      <c r="Q42" s="105"/>
      <c r="R42" s="253"/>
      <c r="S42" s="222"/>
      <c r="T42" s="222"/>
      <c r="U42" s="222"/>
      <c r="V42" s="222"/>
      <c r="W42" s="105"/>
      <c r="X42" s="111"/>
      <c r="Y42" s="222"/>
      <c r="Z42" s="256"/>
      <c r="AA42" s="256"/>
      <c r="AB42" s="222"/>
      <c r="AC42" s="222"/>
      <c r="AD42" s="105"/>
      <c r="AE42" s="111"/>
      <c r="AF42" s="253"/>
      <c r="AG42" s="215">
        <v>0</v>
      </c>
      <c r="AH42" s="6"/>
      <c r="AI42" s="152"/>
    </row>
    <row r="43" spans="1:35" ht="29.45" thickBot="1">
      <c r="A43" s="146"/>
      <c r="B43" s="197"/>
      <c r="C43" s="108"/>
      <c r="D43" s="246"/>
      <c r="E43" s="246"/>
      <c r="F43" s="248"/>
      <c r="G43" s="246"/>
      <c r="H43" s="246"/>
      <c r="I43" s="107"/>
      <c r="J43" s="108"/>
      <c r="K43" s="246"/>
      <c r="L43" s="248"/>
      <c r="M43" s="247"/>
      <c r="N43" s="246"/>
      <c r="O43" s="248"/>
      <c r="P43" s="108"/>
      <c r="Q43" s="108"/>
      <c r="R43" s="248"/>
      <c r="S43" s="246"/>
      <c r="T43" s="246"/>
      <c r="U43" s="246"/>
      <c r="V43" s="246"/>
      <c r="W43" s="108"/>
      <c r="X43" s="107"/>
      <c r="Y43" s="246"/>
      <c r="Z43" s="247"/>
      <c r="AA43" s="247"/>
      <c r="AB43" s="246"/>
      <c r="AC43" s="246"/>
      <c r="AD43" s="108"/>
      <c r="AE43" s="107"/>
      <c r="AF43" s="248"/>
      <c r="AG43" s="496">
        <f>SUM(B43:AF43)</f>
        <v>0</v>
      </c>
      <c r="AH43" s="6"/>
    </row>
    <row r="44" spans="1:35" ht="28.9" customHeight="1" thickBot="1">
      <c r="A44" s="190"/>
      <c r="B44" s="196"/>
      <c r="C44" s="133"/>
      <c r="D44" s="227"/>
      <c r="E44" s="227"/>
      <c r="F44" s="227"/>
      <c r="G44" s="227"/>
      <c r="H44" s="227"/>
      <c r="I44" s="133"/>
      <c r="J44" s="133"/>
      <c r="K44" s="227"/>
      <c r="L44" s="227"/>
      <c r="M44" s="230"/>
      <c r="N44" s="227"/>
      <c r="O44" s="227"/>
      <c r="P44" s="133"/>
      <c r="Q44" s="134"/>
      <c r="R44" s="227"/>
      <c r="S44" s="227"/>
      <c r="T44" s="227"/>
      <c r="U44" s="227"/>
      <c r="V44" s="227"/>
      <c r="W44" s="133"/>
      <c r="X44" s="134"/>
      <c r="Y44" s="227"/>
      <c r="Z44" s="227"/>
      <c r="AA44" s="230"/>
      <c r="AB44" s="227"/>
      <c r="AC44" s="227"/>
      <c r="AD44" s="133"/>
      <c r="AE44" s="133"/>
      <c r="AF44" s="227"/>
      <c r="AG44" s="497">
        <f>SUM(B44:AF44)</f>
        <v>0</v>
      </c>
      <c r="AH44" s="6"/>
    </row>
    <row r="45" spans="1:35" ht="29.45" thickBot="1">
      <c r="A45" s="173"/>
      <c r="B45" s="198"/>
      <c r="C45" s="102"/>
      <c r="D45" s="251"/>
      <c r="E45" s="222"/>
      <c r="F45" s="253"/>
      <c r="G45" s="251"/>
      <c r="H45" s="251"/>
      <c r="I45" s="102"/>
      <c r="J45" s="102"/>
      <c r="K45" s="251"/>
      <c r="L45" s="253"/>
      <c r="M45" s="256"/>
      <c r="N45" s="251"/>
      <c r="O45" s="251"/>
      <c r="P45" s="105"/>
      <c r="Q45" s="105"/>
      <c r="R45" s="253"/>
      <c r="S45" s="222"/>
      <c r="T45" s="222"/>
      <c r="U45" s="222"/>
      <c r="V45" s="222"/>
      <c r="W45" s="105"/>
      <c r="X45" s="111"/>
      <c r="Y45" s="222"/>
      <c r="Z45" s="256"/>
      <c r="AA45" s="256"/>
      <c r="AB45" s="222"/>
      <c r="AC45" s="222"/>
      <c r="AD45" s="105"/>
      <c r="AE45" s="111"/>
      <c r="AF45" s="253"/>
      <c r="AG45" s="215">
        <v>0</v>
      </c>
      <c r="AH45" s="6"/>
    </row>
    <row r="46" spans="1:35" ht="29.45" thickBot="1">
      <c r="A46" s="146"/>
      <c r="B46" s="197"/>
      <c r="C46" s="108"/>
      <c r="D46" s="246"/>
      <c r="E46" s="246"/>
      <c r="F46" s="248"/>
      <c r="G46" s="246"/>
      <c r="H46" s="246"/>
      <c r="I46" s="107"/>
      <c r="J46" s="108"/>
      <c r="K46" s="246"/>
      <c r="L46" s="248"/>
      <c r="M46" s="247"/>
      <c r="N46" s="246"/>
      <c r="O46" s="248"/>
      <c r="P46" s="108"/>
      <c r="Q46" s="108"/>
      <c r="R46" s="248"/>
      <c r="S46" s="246"/>
      <c r="T46" s="246"/>
      <c r="U46" s="246"/>
      <c r="V46" s="246"/>
      <c r="W46" s="108"/>
      <c r="X46" s="107"/>
      <c r="Y46" s="246"/>
      <c r="Z46" s="247"/>
      <c r="AA46" s="247"/>
      <c r="AB46" s="246"/>
      <c r="AC46" s="246"/>
      <c r="AD46" s="108"/>
      <c r="AE46" s="107"/>
      <c r="AF46" s="248"/>
      <c r="AG46" s="496">
        <f>SUM(B46:AF46)</f>
        <v>0</v>
      </c>
      <c r="AH46" s="6"/>
    </row>
    <row r="47" spans="1:35" ht="29.45" thickBot="1">
      <c r="A47" s="190"/>
      <c r="B47" s="196"/>
      <c r="C47" s="133"/>
      <c r="D47" s="227"/>
      <c r="E47" s="227"/>
      <c r="F47" s="227"/>
      <c r="G47" s="227"/>
      <c r="H47" s="227"/>
      <c r="I47" s="133"/>
      <c r="J47" s="133"/>
      <c r="K47" s="227"/>
      <c r="L47" s="227"/>
      <c r="M47" s="230"/>
      <c r="N47" s="227"/>
      <c r="O47" s="227"/>
      <c r="P47" s="133"/>
      <c r="Q47" s="134"/>
      <c r="R47" s="227"/>
      <c r="S47" s="227"/>
      <c r="T47" s="227"/>
      <c r="U47" s="227"/>
      <c r="V47" s="227"/>
      <c r="W47" s="133"/>
      <c r="X47" s="134"/>
      <c r="Y47" s="227"/>
      <c r="Z47" s="227"/>
      <c r="AA47" s="230"/>
      <c r="AB47" s="227"/>
      <c r="AC47" s="227"/>
      <c r="AD47" s="133"/>
      <c r="AE47" s="133"/>
      <c r="AF47" s="227"/>
      <c r="AG47" s="497">
        <f>SUM(B47:AF47)</f>
        <v>0</v>
      </c>
      <c r="AH47" s="6"/>
    </row>
    <row r="48" spans="1:35" ht="29.45" hidden="1" thickBot="1">
      <c r="A48" s="173"/>
      <c r="B48" s="198"/>
      <c r="C48" s="102"/>
      <c r="D48" s="251"/>
      <c r="E48" s="222"/>
      <c r="F48" s="253"/>
      <c r="G48" s="251"/>
      <c r="H48" s="251"/>
      <c r="I48" s="102"/>
      <c r="J48" s="102"/>
      <c r="K48" s="251"/>
      <c r="L48" s="253"/>
      <c r="M48" s="256"/>
      <c r="N48" s="251"/>
      <c r="O48" s="251"/>
      <c r="P48" s="105"/>
      <c r="Q48" s="105"/>
      <c r="R48" s="253"/>
      <c r="S48" s="222"/>
      <c r="T48" s="222"/>
      <c r="U48" s="222"/>
      <c r="V48" s="222"/>
      <c r="W48" s="105"/>
      <c r="X48" s="111"/>
      <c r="Y48" s="222"/>
      <c r="Z48" s="256"/>
      <c r="AA48" s="256"/>
      <c r="AB48" s="222"/>
      <c r="AC48" s="222"/>
      <c r="AD48" s="105"/>
      <c r="AE48" s="111"/>
      <c r="AF48" s="253"/>
      <c r="AG48" s="215">
        <v>0</v>
      </c>
      <c r="AH48" s="6"/>
    </row>
    <row r="49" spans="1:34" ht="29.45" hidden="1" thickBot="1">
      <c r="A49" s="146"/>
      <c r="B49" s="197"/>
      <c r="C49" s="108"/>
      <c r="D49" s="246"/>
      <c r="E49" s="246"/>
      <c r="F49" s="248"/>
      <c r="G49" s="246"/>
      <c r="H49" s="246"/>
      <c r="I49" s="107"/>
      <c r="J49" s="108"/>
      <c r="K49" s="246"/>
      <c r="L49" s="248"/>
      <c r="M49" s="247"/>
      <c r="N49" s="246"/>
      <c r="O49" s="248"/>
      <c r="P49" s="108"/>
      <c r="Q49" s="108"/>
      <c r="R49" s="248"/>
      <c r="S49" s="246"/>
      <c r="T49" s="246"/>
      <c r="U49" s="246"/>
      <c r="V49" s="246"/>
      <c r="W49" s="108"/>
      <c r="X49" s="107"/>
      <c r="Y49" s="246"/>
      <c r="Z49" s="247"/>
      <c r="AA49" s="247"/>
      <c r="AB49" s="246"/>
      <c r="AC49" s="246"/>
      <c r="AD49" s="108"/>
      <c r="AE49" s="107"/>
      <c r="AF49" s="248"/>
      <c r="AG49" s="496">
        <f>SUM(B49:AF49)</f>
        <v>0</v>
      </c>
      <c r="AH49" s="6"/>
    </row>
    <row r="50" spans="1:34" ht="28.9" hidden="1" thickBot="1">
      <c r="A50" s="190"/>
      <c r="B50" s="196"/>
      <c r="C50" s="133"/>
      <c r="D50" s="227"/>
      <c r="E50" s="227"/>
      <c r="F50" s="227"/>
      <c r="G50" s="227"/>
      <c r="H50" s="227"/>
      <c r="I50" s="133"/>
      <c r="J50" s="133"/>
      <c r="K50" s="227"/>
      <c r="L50" s="227"/>
      <c r="M50" s="230"/>
      <c r="N50" s="227"/>
      <c r="O50" s="227"/>
      <c r="P50" s="133"/>
      <c r="Q50" s="134"/>
      <c r="R50" s="227"/>
      <c r="S50" s="227"/>
      <c r="T50" s="227"/>
      <c r="U50" s="227"/>
      <c r="V50" s="227"/>
      <c r="W50" s="133"/>
      <c r="X50" s="134"/>
      <c r="Y50" s="227"/>
      <c r="Z50" s="227"/>
      <c r="AA50" s="230"/>
      <c r="AB50" s="227"/>
      <c r="AC50" s="227"/>
      <c r="AD50" s="133"/>
      <c r="AE50" s="133"/>
      <c r="AF50" s="227"/>
      <c r="AG50" s="497">
        <f>SUM(B50:AF50)</f>
        <v>0</v>
      </c>
    </row>
    <row r="51" spans="1:34" ht="28.9" hidden="1" thickBot="1">
      <c r="A51" s="173"/>
      <c r="B51" s="198"/>
      <c r="C51" s="102"/>
      <c r="D51" s="251"/>
      <c r="E51" s="222"/>
      <c r="F51" s="253"/>
      <c r="G51" s="251"/>
      <c r="H51" s="251"/>
      <c r="I51" s="102"/>
      <c r="J51" s="102"/>
      <c r="K51" s="251"/>
      <c r="L51" s="253"/>
      <c r="M51" s="256"/>
      <c r="N51" s="251"/>
      <c r="O51" s="251"/>
      <c r="P51" s="105"/>
      <c r="Q51" s="105"/>
      <c r="R51" s="253"/>
      <c r="S51" s="222"/>
      <c r="T51" s="222"/>
      <c r="U51" s="222"/>
      <c r="V51" s="222"/>
      <c r="W51" s="105"/>
      <c r="X51" s="111"/>
      <c r="Y51" s="222"/>
      <c r="Z51" s="256"/>
      <c r="AA51" s="256"/>
      <c r="AB51" s="222"/>
      <c r="AC51" s="222"/>
      <c r="AD51" s="105"/>
      <c r="AE51" s="111"/>
      <c r="AF51" s="253"/>
      <c r="AG51" s="215">
        <v>0</v>
      </c>
    </row>
    <row r="52" spans="1:34" ht="28.9" hidden="1" thickBot="1">
      <c r="A52" s="146"/>
      <c r="B52" s="197"/>
      <c r="C52" s="108"/>
      <c r="D52" s="246"/>
      <c r="E52" s="246"/>
      <c r="F52" s="248"/>
      <c r="G52" s="246"/>
      <c r="H52" s="246"/>
      <c r="I52" s="107"/>
      <c r="J52" s="108"/>
      <c r="K52" s="246"/>
      <c r="L52" s="248"/>
      <c r="M52" s="247"/>
      <c r="N52" s="246"/>
      <c r="O52" s="248"/>
      <c r="P52" s="108"/>
      <c r="Q52" s="108"/>
      <c r="R52" s="248"/>
      <c r="S52" s="246"/>
      <c r="T52" s="246"/>
      <c r="U52" s="246"/>
      <c r="V52" s="246"/>
      <c r="W52" s="108"/>
      <c r="X52" s="107"/>
      <c r="Y52" s="246"/>
      <c r="Z52" s="247"/>
      <c r="AA52" s="247"/>
      <c r="AB52" s="246"/>
      <c r="AC52" s="246"/>
      <c r="AD52" s="108"/>
      <c r="AE52" s="107"/>
      <c r="AF52" s="248"/>
      <c r="AG52" s="496">
        <f>SUM(B52:AF52)</f>
        <v>0</v>
      </c>
    </row>
    <row r="53" spans="1:34" ht="28.9" hidden="1" thickBot="1">
      <c r="A53" s="190"/>
      <c r="B53" s="196"/>
      <c r="C53" s="133"/>
      <c r="D53" s="227"/>
      <c r="E53" s="227"/>
      <c r="F53" s="227"/>
      <c r="G53" s="227"/>
      <c r="H53" s="227"/>
      <c r="I53" s="133"/>
      <c r="J53" s="133"/>
      <c r="K53" s="227"/>
      <c r="L53" s="227"/>
      <c r="M53" s="230"/>
      <c r="N53" s="227"/>
      <c r="O53" s="227"/>
      <c r="P53" s="133"/>
      <c r="Q53" s="134"/>
      <c r="R53" s="227"/>
      <c r="S53" s="227"/>
      <c r="T53" s="227"/>
      <c r="U53" s="227"/>
      <c r="V53" s="227"/>
      <c r="W53" s="133"/>
      <c r="X53" s="134"/>
      <c r="Y53" s="227"/>
      <c r="Z53" s="227"/>
      <c r="AA53" s="230"/>
      <c r="AB53" s="227"/>
      <c r="AC53" s="227"/>
      <c r="AD53" s="133"/>
      <c r="AE53" s="133"/>
      <c r="AF53" s="227"/>
      <c r="AG53" s="497">
        <f>SUM(B53:AF53)</f>
        <v>0</v>
      </c>
    </row>
    <row r="54" spans="1:34" ht="28.9" hidden="1" thickBot="1">
      <c r="A54" s="173"/>
      <c r="B54" s="198"/>
      <c r="C54" s="102"/>
      <c r="D54" s="251"/>
      <c r="E54" s="222"/>
      <c r="F54" s="253"/>
      <c r="G54" s="251"/>
      <c r="H54" s="251"/>
      <c r="I54" s="102"/>
      <c r="J54" s="102"/>
      <c r="K54" s="251"/>
      <c r="L54" s="253"/>
      <c r="M54" s="256"/>
      <c r="N54" s="251"/>
      <c r="O54" s="251"/>
      <c r="P54" s="105"/>
      <c r="Q54" s="105"/>
      <c r="R54" s="253"/>
      <c r="S54" s="222"/>
      <c r="T54" s="222"/>
      <c r="U54" s="222"/>
      <c r="V54" s="222"/>
      <c r="W54" s="105"/>
      <c r="X54" s="111"/>
      <c r="Y54" s="222"/>
      <c r="Z54" s="256"/>
      <c r="AA54" s="256"/>
      <c r="AB54" s="222"/>
      <c r="AC54" s="222"/>
      <c r="AD54" s="105"/>
      <c r="AE54" s="111"/>
      <c r="AF54" s="253"/>
      <c r="AG54" s="215">
        <v>0</v>
      </c>
    </row>
    <row r="55" spans="1:34" ht="28.9" hidden="1" thickBot="1">
      <c r="A55" s="146"/>
      <c r="B55" s="197"/>
      <c r="C55" s="108"/>
      <c r="D55" s="246"/>
      <c r="E55" s="246"/>
      <c r="F55" s="248"/>
      <c r="G55" s="246"/>
      <c r="H55" s="246"/>
      <c r="I55" s="107"/>
      <c r="J55" s="108"/>
      <c r="K55" s="246"/>
      <c r="L55" s="248"/>
      <c r="M55" s="247"/>
      <c r="N55" s="246"/>
      <c r="O55" s="248"/>
      <c r="P55" s="108"/>
      <c r="Q55" s="108"/>
      <c r="R55" s="248"/>
      <c r="S55" s="246"/>
      <c r="T55" s="246"/>
      <c r="U55" s="246"/>
      <c r="V55" s="246"/>
      <c r="W55" s="108"/>
      <c r="X55" s="107"/>
      <c r="Y55" s="246"/>
      <c r="Z55" s="247"/>
      <c r="AA55" s="247"/>
      <c r="AB55" s="246"/>
      <c r="AC55" s="246"/>
      <c r="AD55" s="108"/>
      <c r="AE55" s="107"/>
      <c r="AF55" s="248"/>
      <c r="AG55" s="496">
        <f>SUM(B55:AF55)</f>
        <v>0</v>
      </c>
    </row>
    <row r="56" spans="1:34" ht="28.9" hidden="1" thickBot="1">
      <c r="A56" s="190"/>
      <c r="B56" s="196"/>
      <c r="C56" s="133"/>
      <c r="D56" s="227"/>
      <c r="E56" s="227"/>
      <c r="F56" s="227"/>
      <c r="G56" s="227"/>
      <c r="H56" s="227"/>
      <c r="I56" s="133"/>
      <c r="J56" s="133"/>
      <c r="K56" s="227"/>
      <c r="L56" s="227"/>
      <c r="M56" s="230"/>
      <c r="N56" s="227"/>
      <c r="O56" s="227"/>
      <c r="P56" s="133"/>
      <c r="Q56" s="134"/>
      <c r="R56" s="227"/>
      <c r="S56" s="227"/>
      <c r="T56" s="227"/>
      <c r="U56" s="227"/>
      <c r="V56" s="227"/>
      <c r="W56" s="133"/>
      <c r="X56" s="134"/>
      <c r="Y56" s="227"/>
      <c r="Z56" s="227"/>
      <c r="AA56" s="230"/>
      <c r="AB56" s="227"/>
      <c r="AC56" s="227"/>
      <c r="AD56" s="133"/>
      <c r="AE56" s="133"/>
      <c r="AF56" s="227"/>
      <c r="AG56" s="497">
        <f>SUM(B56:AF56)</f>
        <v>0</v>
      </c>
    </row>
    <row r="57" spans="1:34" ht="29.45" hidden="1" thickBot="1">
      <c r="A57" s="173"/>
      <c r="B57" s="199"/>
      <c r="C57" s="105"/>
      <c r="D57" s="222"/>
      <c r="E57" s="253"/>
      <c r="F57" s="222"/>
      <c r="G57" s="222"/>
      <c r="H57" s="222"/>
      <c r="I57" s="105"/>
      <c r="J57" s="105"/>
      <c r="K57" s="222"/>
      <c r="L57" s="222"/>
      <c r="M57" s="256"/>
      <c r="N57" s="222"/>
      <c r="O57" s="254"/>
      <c r="P57" s="105"/>
      <c r="Q57" s="112"/>
      <c r="R57" s="222"/>
      <c r="S57" s="222"/>
      <c r="T57" s="254"/>
      <c r="U57" s="222"/>
      <c r="V57" s="254"/>
      <c r="W57" s="105"/>
      <c r="X57" s="112"/>
      <c r="Y57" s="222"/>
      <c r="Z57" s="222"/>
      <c r="AA57" s="256"/>
      <c r="AB57" s="309"/>
      <c r="AC57" s="222"/>
      <c r="AD57" s="105"/>
      <c r="AE57" s="105"/>
      <c r="AF57" s="222"/>
      <c r="AG57" s="215">
        <f>SUM(B57:AF57)</f>
        <v>0</v>
      </c>
    </row>
    <row r="58" spans="1:34" ht="28.9" hidden="1" thickBot="1">
      <c r="A58" s="189"/>
      <c r="B58" s="194"/>
      <c r="C58" s="137"/>
      <c r="D58" s="232"/>
      <c r="E58" s="260"/>
      <c r="F58" s="232"/>
      <c r="G58" s="232"/>
      <c r="H58" s="232"/>
      <c r="I58" s="137"/>
      <c r="J58" s="137"/>
      <c r="K58" s="232"/>
      <c r="L58" s="232"/>
      <c r="M58" s="231"/>
      <c r="N58" s="232"/>
      <c r="O58" s="232"/>
      <c r="P58" s="137"/>
      <c r="Q58" s="137"/>
      <c r="R58" s="232"/>
      <c r="S58" s="232"/>
      <c r="T58" s="260"/>
      <c r="U58" s="232"/>
      <c r="V58" s="232"/>
      <c r="W58" s="149"/>
      <c r="X58" s="137"/>
      <c r="Y58" s="232"/>
      <c r="Z58" s="232"/>
      <c r="AA58" s="231"/>
      <c r="AB58" s="232"/>
      <c r="AC58" s="232"/>
      <c r="AD58" s="137"/>
      <c r="AE58" s="139"/>
      <c r="AF58" s="321"/>
      <c r="AG58" s="554">
        <f>SUM(B58:AF58)</f>
        <v>0</v>
      </c>
    </row>
    <row r="59" spans="1:34" ht="28.9" hidden="1" thickBot="1">
      <c r="A59" s="150"/>
      <c r="B59" s="197"/>
      <c r="C59" s="108"/>
      <c r="D59" s="246"/>
      <c r="E59" s="248"/>
      <c r="F59" s="246"/>
      <c r="G59" s="246"/>
      <c r="H59" s="246"/>
      <c r="I59" s="108"/>
      <c r="J59" s="108"/>
      <c r="K59" s="246"/>
      <c r="L59" s="248"/>
      <c r="M59" s="252"/>
      <c r="N59" s="246"/>
      <c r="O59" s="252"/>
      <c r="P59" s="108"/>
      <c r="Q59" s="113"/>
      <c r="R59" s="246"/>
      <c r="S59" s="246"/>
      <c r="T59" s="252"/>
      <c r="U59" s="246"/>
      <c r="V59" s="247"/>
      <c r="W59" s="108"/>
      <c r="X59" s="113"/>
      <c r="Y59" s="246"/>
      <c r="Z59" s="246"/>
      <c r="AA59" s="247"/>
      <c r="AB59" s="246"/>
      <c r="AC59" s="246"/>
      <c r="AD59" s="108"/>
      <c r="AE59" s="110"/>
      <c r="AF59" s="252"/>
      <c r="AG59" s="553">
        <f>SUM(B59:AF59)</f>
        <v>0</v>
      </c>
    </row>
    <row r="60" spans="1:34" ht="32.450000000000003" thickBot="1">
      <c r="A60" s="678" t="s">
        <v>40</v>
      </c>
      <c r="B60" s="599" t="s">
        <v>18</v>
      </c>
      <c r="C60" s="312"/>
      <c r="D60" s="312"/>
      <c r="E60" s="313"/>
      <c r="F60" s="312"/>
      <c r="G60" s="592" t="s">
        <v>18</v>
      </c>
      <c r="H60" s="592" t="s">
        <v>18</v>
      </c>
      <c r="I60" s="312"/>
      <c r="J60" s="312"/>
      <c r="K60" s="312"/>
      <c r="L60" s="313"/>
      <c r="M60" s="314"/>
      <c r="N60" s="312"/>
      <c r="O60" s="314"/>
      <c r="P60" s="312"/>
      <c r="Q60" s="314"/>
      <c r="R60" s="312"/>
      <c r="S60" s="312"/>
      <c r="T60" s="314"/>
      <c r="U60" s="312"/>
      <c r="V60" s="315"/>
      <c r="W60" s="312"/>
      <c r="X60" s="314"/>
      <c r="Y60" s="312"/>
      <c r="Z60" s="312"/>
      <c r="AA60" s="315"/>
      <c r="AB60" s="312"/>
      <c r="AC60" s="313"/>
      <c r="AD60" s="312"/>
      <c r="AE60" s="312"/>
      <c r="AF60" s="316"/>
      <c r="AG60" s="498" t="s">
        <v>41</v>
      </c>
    </row>
    <row r="61" spans="1:34" ht="32.450000000000003" thickBot="1">
      <c r="A61" s="679"/>
      <c r="B61" s="317"/>
      <c r="C61" s="318"/>
      <c r="D61" s="318"/>
      <c r="E61" s="318"/>
      <c r="F61" s="318"/>
      <c r="G61" s="318"/>
      <c r="H61" s="318"/>
      <c r="I61" s="318"/>
      <c r="J61" s="318"/>
      <c r="K61" s="318"/>
      <c r="L61" s="318"/>
      <c r="M61" s="318"/>
      <c r="N61" s="318"/>
      <c r="O61" s="318"/>
      <c r="P61" s="318"/>
      <c r="Q61" s="318"/>
      <c r="R61" s="318"/>
      <c r="S61" s="318"/>
      <c r="T61" s="318"/>
      <c r="U61" s="318"/>
      <c r="V61" s="318"/>
      <c r="W61" s="318"/>
      <c r="X61" s="318"/>
      <c r="Y61" s="318"/>
      <c r="Z61" s="318"/>
      <c r="AA61" s="318"/>
      <c r="AB61" s="318"/>
      <c r="AC61" s="318"/>
      <c r="AD61" s="318"/>
      <c r="AE61" s="318"/>
      <c r="AF61" s="319"/>
      <c r="AG61" s="499">
        <v>165.5</v>
      </c>
    </row>
    <row r="62" spans="1:34" ht="29.45" thickTop="1">
      <c r="A62" s="125" t="s">
        <v>42</v>
      </c>
      <c r="B62" s="126"/>
      <c r="C62" s="126"/>
      <c r="D62" s="124"/>
      <c r="E62" s="124"/>
      <c r="F62" s="124"/>
      <c r="G62" s="124"/>
      <c r="H62" s="127"/>
      <c r="I62" s="7"/>
      <c r="J62" s="7"/>
      <c r="K62" s="20" t="s">
        <v>43</v>
      </c>
      <c r="L62" s="37"/>
      <c r="M62" s="37"/>
      <c r="N62" s="37"/>
      <c r="O62" s="37"/>
      <c r="P62" s="22"/>
      <c r="Q62" s="22"/>
      <c r="R62" s="128"/>
      <c r="S62" s="128" t="s">
        <v>44</v>
      </c>
      <c r="T62" s="23"/>
      <c r="U62" s="129"/>
      <c r="V62" s="7"/>
      <c r="W62" s="7"/>
      <c r="X62" s="25"/>
      <c r="Y62" s="26"/>
      <c r="Z62" s="26"/>
      <c r="AA62" s="26"/>
      <c r="AB62" s="90" t="s">
        <v>45</v>
      </c>
      <c r="AC62" s="26"/>
      <c r="AD62" s="26"/>
      <c r="AE62" s="26"/>
      <c r="AF62" s="26"/>
      <c r="AG62" s="55"/>
    </row>
    <row r="63" spans="1:34" ht="28.9">
      <c r="A63" s="16" t="s">
        <v>46</v>
      </c>
      <c r="B63" s="17"/>
      <c r="C63" s="17"/>
      <c r="D63" s="18"/>
      <c r="E63" s="18"/>
      <c r="F63" s="18"/>
      <c r="G63" s="18"/>
      <c r="H63" s="19"/>
      <c r="I63" s="7"/>
      <c r="J63" s="7"/>
      <c r="K63" s="20" t="s">
        <v>47</v>
      </c>
      <c r="L63" s="21"/>
      <c r="M63" s="21"/>
      <c r="N63" s="21"/>
      <c r="O63" s="21"/>
      <c r="P63" s="22"/>
      <c r="Q63" s="128"/>
      <c r="R63" s="128" t="s">
        <v>48</v>
      </c>
      <c r="S63" s="23"/>
      <c r="T63" s="23"/>
      <c r="U63" s="24"/>
      <c r="V63" s="7"/>
      <c r="W63" s="7"/>
      <c r="X63" s="25"/>
      <c r="Y63" s="26"/>
      <c r="Z63" s="26"/>
      <c r="AA63" s="26"/>
      <c r="AB63" s="26"/>
      <c r="AC63" s="26"/>
      <c r="AD63" s="26"/>
      <c r="AE63" s="26"/>
      <c r="AF63" s="26"/>
      <c r="AG63" s="55"/>
    </row>
    <row r="64" spans="1:34" ht="28.15">
      <c r="A64" s="27" t="s">
        <v>49</v>
      </c>
      <c r="B64" s="28"/>
      <c r="C64" s="28"/>
      <c r="D64" s="28"/>
      <c r="E64" s="28"/>
      <c r="F64" s="28"/>
      <c r="G64" s="28"/>
      <c r="H64" s="29"/>
      <c r="I64" s="7"/>
      <c r="J64" s="7"/>
      <c r="K64" s="20" t="s">
        <v>50</v>
      </c>
      <c r="L64" s="21"/>
      <c r="M64" s="21"/>
      <c r="N64" s="21"/>
      <c r="O64" s="21"/>
      <c r="P64" s="22"/>
      <c r="Q64" s="22"/>
      <c r="R64" s="22"/>
      <c r="S64" s="22"/>
      <c r="T64" s="22"/>
      <c r="U64" s="30"/>
      <c r="V64" s="7"/>
      <c r="W64" s="7"/>
      <c r="X64" s="31"/>
      <c r="Y64" s="26"/>
      <c r="Z64" s="26"/>
      <c r="AA64" s="26"/>
      <c r="AB64" s="26"/>
      <c r="AC64" s="26"/>
      <c r="AD64" s="26"/>
      <c r="AE64" s="26"/>
      <c r="AF64" s="26"/>
      <c r="AG64" s="15"/>
    </row>
    <row r="65" spans="1:33" ht="28.9">
      <c r="A65" s="32" t="s">
        <v>51</v>
      </c>
      <c r="B65" s="33"/>
      <c r="C65" s="33"/>
      <c r="D65" s="34"/>
      <c r="E65" s="34"/>
      <c r="F65" s="34"/>
      <c r="G65" s="34"/>
      <c r="H65" s="35"/>
      <c r="I65" s="36"/>
      <c r="J65" s="36"/>
      <c r="K65" s="20" t="s">
        <v>70</v>
      </c>
      <c r="L65" s="21"/>
      <c r="M65" s="21"/>
      <c r="N65" s="21"/>
      <c r="O65" s="21"/>
      <c r="P65" s="37"/>
      <c r="Q65" s="37"/>
      <c r="R65" s="37"/>
      <c r="S65" s="38"/>
      <c r="T65" s="37"/>
      <c r="U65" s="39"/>
      <c r="V65" s="40"/>
      <c r="W65" s="6"/>
      <c r="X65" s="701"/>
      <c r="Y65" s="702"/>
      <c r="Z65" s="702"/>
      <c r="AA65" s="702"/>
      <c r="AB65" s="702"/>
      <c r="AC65" s="702"/>
      <c r="AD65" s="702"/>
      <c r="AE65" s="702"/>
      <c r="AF65" s="702"/>
      <c r="AG65" s="703"/>
    </row>
    <row r="66" spans="1:33" ht="28.9">
      <c r="A66" s="42" t="s">
        <v>53</v>
      </c>
      <c r="B66" s="43"/>
      <c r="C66" s="43"/>
      <c r="D66" s="43"/>
      <c r="E66" s="43"/>
      <c r="F66" s="43"/>
      <c r="G66" s="43"/>
      <c r="H66" s="44"/>
      <c r="I66" s="36"/>
      <c r="J66" s="36"/>
      <c r="K66" s="20" t="s">
        <v>71</v>
      </c>
      <c r="L66" s="21"/>
      <c r="M66" s="21"/>
      <c r="N66" s="21"/>
      <c r="O66" s="21"/>
      <c r="P66" s="21"/>
      <c r="Q66" s="21"/>
      <c r="R66" s="21"/>
      <c r="S66" s="38"/>
      <c r="T66" s="37"/>
      <c r="U66" s="39"/>
      <c r="V66" s="40"/>
      <c r="W66" s="6"/>
      <c r="X66" s="41"/>
      <c r="Y66" s="45"/>
      <c r="Z66" s="46"/>
      <c r="AA66" s="45"/>
      <c r="AB66" s="45"/>
      <c r="AC66" s="45"/>
      <c r="AD66" s="45"/>
      <c r="AE66" s="45"/>
      <c r="AF66" s="45"/>
      <c r="AG66" s="15"/>
    </row>
    <row r="67" spans="1:33" ht="28.9">
      <c r="A67" s="47" t="s">
        <v>55</v>
      </c>
      <c r="B67" s="48"/>
      <c r="C67" s="48"/>
      <c r="D67" s="49"/>
      <c r="E67" s="49"/>
      <c r="F67" s="49"/>
      <c r="G67" s="49"/>
      <c r="H67" s="50"/>
      <c r="I67" s="36"/>
      <c r="J67" s="36"/>
      <c r="K67" s="20" t="s">
        <v>56</v>
      </c>
      <c r="L67" s="21"/>
      <c r="M67" s="21"/>
      <c r="N67" s="21"/>
      <c r="O67" s="21"/>
      <c r="P67" s="21"/>
      <c r="Q67" s="21"/>
      <c r="R67" s="21"/>
      <c r="S67" s="38"/>
      <c r="T67" s="37"/>
      <c r="U67" s="51"/>
      <c r="V67" s="40"/>
      <c r="W67" s="6"/>
      <c r="X67" s="41"/>
      <c r="Y67" s="45"/>
      <c r="Z67" s="46"/>
      <c r="AA67" s="45"/>
      <c r="AB67" s="45"/>
      <c r="AC67" s="45"/>
      <c r="AD67" s="45"/>
      <c r="AE67" s="45"/>
      <c r="AF67" s="45"/>
      <c r="AG67" s="15"/>
    </row>
    <row r="68" spans="1:33" ht="28.9">
      <c r="A68" s="52" t="s">
        <v>57</v>
      </c>
      <c r="B68" s="53"/>
      <c r="C68" s="53"/>
      <c r="D68" s="53"/>
      <c r="E68" s="53"/>
      <c r="F68" s="53"/>
      <c r="G68" s="53"/>
      <c r="H68" s="54"/>
      <c r="I68" s="36"/>
      <c r="J68" s="36"/>
      <c r="K68" s="20" t="s">
        <v>58</v>
      </c>
      <c r="L68" s="21"/>
      <c r="M68" s="21"/>
      <c r="N68" s="21"/>
      <c r="O68" s="21"/>
      <c r="P68" s="21"/>
      <c r="Q68" s="21" t="s">
        <v>59</v>
      </c>
      <c r="R68" s="21"/>
      <c r="S68" s="38"/>
      <c r="T68" s="37"/>
      <c r="U68" s="39"/>
      <c r="V68" s="40"/>
      <c r="W68" s="6"/>
      <c r="X68" s="41"/>
      <c r="Y68" s="45"/>
      <c r="Z68" s="46"/>
      <c r="AA68" s="45"/>
      <c r="AB68" s="45"/>
      <c r="AC68" s="45"/>
      <c r="AD68" s="45"/>
      <c r="AE68" s="45"/>
      <c r="AF68" s="45"/>
      <c r="AG68" s="55"/>
    </row>
    <row r="69" spans="1:33" ht="29.45" thickBot="1">
      <c r="A69" s="78" t="s">
        <v>60</v>
      </c>
      <c r="B69" s="79"/>
      <c r="C69" s="79"/>
      <c r="D69" s="80"/>
      <c r="E69" s="80"/>
      <c r="F69" s="80"/>
      <c r="G69" s="80"/>
      <c r="H69" s="81"/>
      <c r="I69" s="6"/>
      <c r="J69" s="6"/>
      <c r="K69" s="20" t="s">
        <v>61</v>
      </c>
      <c r="L69" s="21"/>
      <c r="M69" s="21"/>
      <c r="N69" s="21"/>
      <c r="O69" s="21"/>
      <c r="P69" s="21"/>
      <c r="Q69" s="21"/>
      <c r="R69" s="21"/>
      <c r="S69" s="38"/>
      <c r="T69" s="37"/>
      <c r="U69" s="51"/>
      <c r="V69" s="6"/>
      <c r="W69" s="6"/>
      <c r="X69" s="41"/>
      <c r="Y69" s="45"/>
      <c r="Z69" s="46"/>
      <c r="AA69" s="45"/>
      <c r="AB69" s="45"/>
      <c r="AC69" s="45"/>
      <c r="AD69" s="45"/>
      <c r="AE69" s="45"/>
      <c r="AF69" s="45"/>
      <c r="AG69" s="55"/>
    </row>
    <row r="70" spans="1:33" ht="29.45" thickBot="1">
      <c r="A70" s="82" t="s">
        <v>62</v>
      </c>
      <c r="B70" s="83"/>
      <c r="C70" s="83"/>
      <c r="D70" s="83"/>
      <c r="E70" s="83"/>
      <c r="F70" s="83"/>
      <c r="G70" s="83"/>
      <c r="H70" s="84"/>
      <c r="I70" s="6"/>
      <c r="J70" s="6"/>
      <c r="K70" s="63" t="s">
        <v>63</v>
      </c>
      <c r="L70" s="64"/>
      <c r="M70" s="64"/>
      <c r="N70" s="64"/>
      <c r="O70" s="64"/>
      <c r="P70" s="64"/>
      <c r="Q70" s="64"/>
      <c r="R70" s="64"/>
      <c r="S70" s="65"/>
      <c r="T70" s="66"/>
      <c r="U70" s="67"/>
      <c r="V70" s="6"/>
      <c r="W70" s="6"/>
      <c r="X70" s="68"/>
      <c r="Y70" s="69"/>
      <c r="Z70" s="70"/>
      <c r="AA70" s="69"/>
      <c r="AB70" s="69"/>
      <c r="AC70" s="69"/>
      <c r="AD70" s="69"/>
      <c r="AE70" s="69"/>
      <c r="AF70" s="69"/>
      <c r="AG70" s="71"/>
    </row>
    <row r="71" spans="1:33" ht="28.9">
      <c r="A71" s="6"/>
      <c r="B71" s="6"/>
      <c r="C71" s="6"/>
      <c r="D71" s="6"/>
      <c r="E71" s="6"/>
      <c r="F71" s="6"/>
      <c r="G71" s="6"/>
      <c r="H71" s="6"/>
      <c r="I71" s="6"/>
      <c r="J71" s="72"/>
      <c r="K71" s="73"/>
      <c r="L71" s="74"/>
      <c r="M71" s="74"/>
      <c r="N71" s="74"/>
      <c r="O71" s="74"/>
      <c r="P71" s="74"/>
      <c r="Q71" s="74"/>
      <c r="R71" s="72"/>
      <c r="S71" s="72"/>
      <c r="T71" s="72"/>
      <c r="U71" s="72"/>
      <c r="V71" s="72"/>
      <c r="W71" s="72"/>
      <c r="X71" s="72"/>
      <c r="Y71" s="72"/>
      <c r="Z71" s="6"/>
      <c r="AA71" s="6"/>
      <c r="AB71" s="6"/>
      <c r="AC71" s="6"/>
      <c r="AD71" s="6"/>
      <c r="AE71" s="6"/>
      <c r="AF71" s="6"/>
      <c r="AG71" s="6"/>
    </row>
    <row r="72" spans="1:33" ht="28.9">
      <c r="A72" s="6" t="s">
        <v>64</v>
      </c>
      <c r="B72" s="6"/>
      <c r="C72" s="6"/>
      <c r="D72" s="6"/>
      <c r="E72" s="6"/>
      <c r="F72" s="6"/>
      <c r="G72" s="6"/>
      <c r="H72" s="6" t="s">
        <v>65</v>
      </c>
      <c r="I72" s="6"/>
      <c r="J72" s="72"/>
      <c r="K72" s="73"/>
      <c r="L72" s="74"/>
      <c r="M72" s="74"/>
      <c r="N72" s="74"/>
      <c r="O72" s="74"/>
      <c r="P72" s="74" t="s">
        <v>66</v>
      </c>
      <c r="Q72" s="74"/>
      <c r="R72" s="72"/>
      <c r="S72" s="72"/>
      <c r="T72" s="72"/>
      <c r="U72" s="72"/>
      <c r="V72" s="72"/>
      <c r="W72" s="72"/>
      <c r="X72" s="72"/>
      <c r="Y72" s="72"/>
      <c r="Z72" s="6"/>
      <c r="AA72" s="6" t="s">
        <v>72</v>
      </c>
      <c r="AB72" s="6"/>
      <c r="AC72" s="6"/>
      <c r="AD72" s="6"/>
      <c r="AE72" s="6"/>
      <c r="AF72" s="6"/>
      <c r="AG72" s="6"/>
    </row>
    <row r="73" spans="1:33" ht="28.9">
      <c r="A73" s="6"/>
      <c r="B73" s="6"/>
      <c r="C73" s="6"/>
      <c r="D73" s="6"/>
      <c r="E73" s="6"/>
      <c r="F73" s="6"/>
      <c r="G73" s="6"/>
      <c r="H73" s="6"/>
      <c r="I73" s="6"/>
      <c r="J73" s="72"/>
      <c r="K73" s="73"/>
      <c r="L73" s="74"/>
      <c r="M73" s="74"/>
      <c r="N73" s="74"/>
      <c r="O73" s="74"/>
      <c r="P73" s="74" t="s">
        <v>68</v>
      </c>
      <c r="Q73" s="74"/>
      <c r="R73" s="72"/>
      <c r="S73" s="72"/>
      <c r="T73" s="72"/>
      <c r="U73" s="72"/>
      <c r="V73" s="72"/>
      <c r="W73" s="72"/>
      <c r="X73" s="72"/>
      <c r="Y73" s="72"/>
      <c r="Z73" s="6"/>
      <c r="AA73" s="6"/>
      <c r="AB73" s="6"/>
      <c r="AC73" s="6"/>
      <c r="AD73" s="6"/>
      <c r="AE73" s="6"/>
      <c r="AF73" s="6"/>
    </row>
    <row r="74" spans="1:33" ht="28.9">
      <c r="A74" s="6"/>
      <c r="B74" s="6"/>
      <c r="C74" s="6"/>
      <c r="D74" s="6"/>
      <c r="E74" s="6"/>
      <c r="F74" s="6"/>
      <c r="G74" s="6"/>
      <c r="H74" s="6"/>
      <c r="I74" s="6"/>
      <c r="J74" s="72"/>
      <c r="K74" s="73"/>
      <c r="L74" s="74"/>
      <c r="M74" s="74"/>
      <c r="N74" s="74"/>
      <c r="O74" s="74"/>
      <c r="P74" s="74"/>
      <c r="Q74" s="74"/>
      <c r="R74" s="72"/>
      <c r="S74" s="72"/>
      <c r="T74" s="72"/>
      <c r="U74" s="72"/>
      <c r="V74" s="72"/>
      <c r="W74" s="72"/>
      <c r="X74" s="72"/>
      <c r="Y74" s="72"/>
      <c r="Z74" s="6"/>
      <c r="AA74" s="6"/>
      <c r="AB74" s="6"/>
      <c r="AC74" s="6"/>
      <c r="AD74" s="6"/>
      <c r="AE74" s="6"/>
      <c r="AF74" s="6"/>
    </row>
    <row r="75" spans="1:33" ht="28.9">
      <c r="A75" s="6"/>
      <c r="B75" s="6"/>
      <c r="C75" s="6"/>
      <c r="D75" s="6"/>
      <c r="E75" s="6"/>
      <c r="F75" s="6"/>
      <c r="G75" s="6"/>
      <c r="H75" s="6"/>
      <c r="I75" s="6"/>
      <c r="J75" s="72"/>
      <c r="K75" s="73"/>
      <c r="L75" s="74"/>
      <c r="M75" s="74"/>
      <c r="N75" s="74"/>
      <c r="O75" s="74"/>
      <c r="P75" s="74"/>
      <c r="Q75" s="74"/>
      <c r="R75" s="72"/>
      <c r="S75" s="72"/>
      <c r="T75" s="72"/>
      <c r="U75" s="72"/>
      <c r="V75" s="72"/>
      <c r="W75" s="72"/>
      <c r="X75" s="72"/>
      <c r="Y75" s="72"/>
      <c r="Z75" s="6"/>
      <c r="AA75" s="6"/>
      <c r="AB75" s="6"/>
      <c r="AC75" s="6"/>
      <c r="AD75" s="6"/>
      <c r="AE75" s="6"/>
      <c r="AF75" s="6"/>
    </row>
    <row r="76" spans="1:33" ht="28.9">
      <c r="A76" s="6"/>
      <c r="B76" s="6"/>
      <c r="C76" s="6"/>
      <c r="D76" s="6"/>
      <c r="E76" s="6"/>
      <c r="F76" s="6"/>
      <c r="G76" s="6"/>
      <c r="H76" s="6"/>
      <c r="I76" s="6"/>
      <c r="J76" s="72"/>
      <c r="K76" s="73"/>
      <c r="L76" s="74"/>
      <c r="M76" s="74"/>
      <c r="N76" s="74"/>
      <c r="O76" s="74"/>
      <c r="P76" s="74"/>
      <c r="Q76" s="74"/>
      <c r="R76" s="72"/>
      <c r="S76" s="72"/>
      <c r="T76" s="72"/>
      <c r="U76" s="72"/>
      <c r="V76" s="72"/>
      <c r="W76" s="72"/>
      <c r="X76" s="72"/>
      <c r="Y76" s="72"/>
      <c r="Z76" s="6"/>
      <c r="AA76" s="6"/>
      <c r="AB76" s="6"/>
      <c r="AC76" s="6"/>
      <c r="AD76" s="6"/>
      <c r="AE76" s="6"/>
      <c r="AF76" s="6"/>
    </row>
    <row r="77" spans="1:33">
      <c r="A77" s="680"/>
      <c r="B77" s="681"/>
      <c r="C77" s="681"/>
      <c r="D77" s="681"/>
      <c r="E77" s="681"/>
      <c r="F77" s="681"/>
      <c r="G77" s="681"/>
      <c r="H77" s="681"/>
      <c r="I77" s="681"/>
      <c r="J77" s="681"/>
      <c r="K77" s="681"/>
      <c r="L77" s="681"/>
      <c r="M77" s="681"/>
      <c r="N77" s="681"/>
      <c r="O77" s="681"/>
      <c r="P77" s="681"/>
      <c r="Q77" s="681"/>
      <c r="R77" s="681"/>
      <c r="S77" s="681"/>
      <c r="T77" s="681"/>
      <c r="U77" s="681"/>
      <c r="V77" s="681"/>
      <c r="W77" s="681"/>
      <c r="X77" s="681"/>
      <c r="Y77" s="681"/>
      <c r="Z77" s="681"/>
      <c r="AA77" s="681"/>
      <c r="AB77" s="681"/>
      <c r="AC77" s="681"/>
      <c r="AD77" s="681"/>
      <c r="AE77" s="681"/>
      <c r="AF77" s="681"/>
    </row>
    <row r="78" spans="1:33">
      <c r="A78" s="681"/>
      <c r="B78" s="681"/>
      <c r="C78" s="681"/>
      <c r="D78" s="681"/>
      <c r="E78" s="681"/>
      <c r="F78" s="681"/>
      <c r="G78" s="681"/>
      <c r="H78" s="681"/>
      <c r="I78" s="681"/>
      <c r="J78" s="681"/>
      <c r="K78" s="681"/>
      <c r="L78" s="681"/>
      <c r="M78" s="681"/>
      <c r="N78" s="681"/>
      <c r="O78" s="681"/>
      <c r="P78" s="681"/>
      <c r="Q78" s="681"/>
      <c r="R78" s="681"/>
      <c r="S78" s="681"/>
      <c r="T78" s="681"/>
      <c r="U78" s="681"/>
      <c r="V78" s="681"/>
      <c r="W78" s="681"/>
      <c r="X78" s="681"/>
      <c r="Y78" s="681"/>
      <c r="Z78" s="681"/>
      <c r="AA78" s="681"/>
      <c r="AB78" s="681"/>
      <c r="AC78" s="681"/>
      <c r="AD78" s="681"/>
      <c r="AE78" s="681"/>
      <c r="AF78" s="681"/>
    </row>
    <row r="79" spans="1:33">
      <c r="A79" s="704"/>
      <c r="B79" s="704"/>
      <c r="C79" s="704"/>
      <c r="D79" s="704"/>
      <c r="E79" s="704"/>
      <c r="F79" s="704"/>
      <c r="G79" s="704"/>
      <c r="H79" s="704"/>
      <c r="I79" s="704"/>
      <c r="J79" s="704"/>
      <c r="K79" s="704"/>
      <c r="L79" s="704"/>
      <c r="M79" s="704"/>
      <c r="N79" s="704"/>
      <c r="O79" s="704"/>
      <c r="P79" s="704"/>
      <c r="Q79" s="704"/>
      <c r="R79" s="704"/>
      <c r="S79" s="704"/>
      <c r="T79" s="704"/>
      <c r="U79" s="704"/>
      <c r="V79" s="704"/>
      <c r="W79" s="704"/>
      <c r="X79" s="704"/>
      <c r="Y79" s="704"/>
      <c r="Z79" s="704"/>
      <c r="AA79" s="704"/>
      <c r="AB79" s="704"/>
      <c r="AC79" s="704"/>
      <c r="AD79" s="704"/>
      <c r="AE79" s="704"/>
      <c r="AF79" s="704"/>
    </row>
    <row r="80" spans="1:33">
      <c r="A80" s="704"/>
      <c r="B80" s="704"/>
      <c r="C80" s="704"/>
      <c r="D80" s="704"/>
      <c r="E80" s="704"/>
      <c r="F80" s="704"/>
      <c r="G80" s="704"/>
      <c r="H80" s="704"/>
      <c r="I80" s="704"/>
      <c r="J80" s="704"/>
      <c r="K80" s="704"/>
      <c r="L80" s="704"/>
      <c r="M80" s="704"/>
      <c r="N80" s="704"/>
      <c r="O80" s="704"/>
      <c r="P80" s="704"/>
      <c r="Q80" s="704"/>
      <c r="R80" s="704"/>
      <c r="S80" s="704"/>
      <c r="T80" s="704"/>
      <c r="U80" s="704"/>
      <c r="V80" s="704"/>
      <c r="W80" s="704"/>
      <c r="X80" s="704"/>
      <c r="Y80" s="704"/>
      <c r="Z80" s="704"/>
      <c r="AA80" s="704"/>
      <c r="AB80" s="704"/>
      <c r="AC80" s="704"/>
      <c r="AD80" s="704"/>
      <c r="AE80" s="704"/>
      <c r="AF80" s="704"/>
    </row>
  </sheetData>
  <mergeCells count="3">
    <mergeCell ref="A60:A61"/>
    <mergeCell ref="X65:AG65"/>
    <mergeCell ref="A77:AF80"/>
  </mergeCells>
  <pageMargins left="0.7" right="0.7" top="0.75" bottom="0.75" header="0.3" footer="0.3"/>
  <pageSetup paperSize="9" orientation="landscape"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F62D4-B99C-1C4C-B54E-095CAB67A87C}">
  <dimension ref="A1:CW79"/>
  <sheetViews>
    <sheetView showGridLines="0" zoomScale="42" zoomScaleNormal="61" workbookViewId="0">
      <selection activeCell="AP67" sqref="AP67"/>
    </sheetView>
  </sheetViews>
  <sheetFormatPr defaultColWidth="8.7109375" defaultRowHeight="14.45"/>
  <cols>
    <col min="1" max="1" width="20.42578125" customWidth="1"/>
    <col min="4" max="4" width="8.7109375" style="1"/>
    <col min="18" max="18" width="9.42578125" customWidth="1"/>
    <col min="32" max="32" width="11" bestFit="1" customWidth="1"/>
    <col min="33" max="33" width="18.28515625" customWidth="1"/>
    <col min="36" max="36" width="11.7109375" bestFit="1" customWidth="1"/>
  </cols>
  <sheetData>
    <row r="1" spans="1:38" ht="28.9" thickTop="1" thickBot="1">
      <c r="A1" s="185" t="s">
        <v>0</v>
      </c>
      <c r="B1" s="280">
        <v>1</v>
      </c>
      <c r="C1" s="281">
        <v>2</v>
      </c>
      <c r="D1" s="281">
        <v>3</v>
      </c>
      <c r="E1" s="282">
        <v>4</v>
      </c>
      <c r="F1" s="140">
        <v>5</v>
      </c>
      <c r="G1" s="140">
        <v>6</v>
      </c>
      <c r="H1" s="281">
        <v>7</v>
      </c>
      <c r="I1" s="281">
        <v>8</v>
      </c>
      <c r="J1" s="281">
        <v>9</v>
      </c>
      <c r="K1" s="369">
        <v>10</v>
      </c>
      <c r="L1" s="283">
        <v>11</v>
      </c>
      <c r="M1" s="192">
        <v>12</v>
      </c>
      <c r="N1" s="140">
        <v>13</v>
      </c>
      <c r="O1" s="281">
        <v>14</v>
      </c>
      <c r="P1" s="283">
        <v>15</v>
      </c>
      <c r="Q1" s="281">
        <v>16</v>
      </c>
      <c r="R1" s="283">
        <v>17</v>
      </c>
      <c r="S1" s="281">
        <v>18</v>
      </c>
      <c r="T1" s="140">
        <v>19</v>
      </c>
      <c r="U1" s="142">
        <v>20</v>
      </c>
      <c r="V1" s="281">
        <v>21</v>
      </c>
      <c r="W1" s="283">
        <v>22</v>
      </c>
      <c r="X1" s="281">
        <v>23</v>
      </c>
      <c r="Y1" s="402">
        <v>24</v>
      </c>
      <c r="Z1" s="281">
        <v>25</v>
      </c>
      <c r="AA1" s="142">
        <v>26</v>
      </c>
      <c r="AB1" s="140">
        <v>27</v>
      </c>
      <c r="AC1" s="283">
        <v>28</v>
      </c>
      <c r="AD1" s="281">
        <v>29</v>
      </c>
      <c r="AE1" s="285">
        <v>30</v>
      </c>
      <c r="AF1" s="555" t="s">
        <v>1</v>
      </c>
      <c r="AG1" s="567" t="s">
        <v>2</v>
      </c>
    </row>
    <row r="2" spans="1:38" ht="29.45" thickBot="1">
      <c r="A2" s="201" t="s">
        <v>78</v>
      </c>
      <c r="B2" s="119" t="s">
        <v>10</v>
      </c>
      <c r="C2" s="119" t="s">
        <v>4</v>
      </c>
      <c r="D2" s="119" t="s">
        <v>5</v>
      </c>
      <c r="E2" s="119" t="s">
        <v>6</v>
      </c>
      <c r="F2" s="181" t="s">
        <v>7</v>
      </c>
      <c r="G2" s="121" t="s">
        <v>8</v>
      </c>
      <c r="H2" s="287" t="s">
        <v>9</v>
      </c>
      <c r="I2" s="287" t="s">
        <v>10</v>
      </c>
      <c r="J2" s="287" t="s">
        <v>4</v>
      </c>
      <c r="K2" s="370" t="s">
        <v>5</v>
      </c>
      <c r="L2" s="286" t="s">
        <v>6</v>
      </c>
      <c r="M2" s="162" t="s">
        <v>7</v>
      </c>
      <c r="N2" s="163" t="s">
        <v>8</v>
      </c>
      <c r="O2" s="287" t="s">
        <v>9</v>
      </c>
      <c r="P2" s="287" t="s">
        <v>10</v>
      </c>
      <c r="Q2" s="287" t="s">
        <v>4</v>
      </c>
      <c r="R2" s="287" t="s">
        <v>5</v>
      </c>
      <c r="S2" s="286" t="s">
        <v>6</v>
      </c>
      <c r="T2" s="162" t="s">
        <v>7</v>
      </c>
      <c r="U2" s="163" t="s">
        <v>8</v>
      </c>
      <c r="V2" s="287" t="s">
        <v>9</v>
      </c>
      <c r="W2" s="287" t="s">
        <v>10</v>
      </c>
      <c r="X2" s="287" t="s">
        <v>4</v>
      </c>
      <c r="Y2" s="370" t="s">
        <v>5</v>
      </c>
      <c r="Z2" s="286" t="s">
        <v>6</v>
      </c>
      <c r="AA2" s="162" t="s">
        <v>7</v>
      </c>
      <c r="AB2" s="163" t="s">
        <v>8</v>
      </c>
      <c r="AC2" s="288" t="s">
        <v>9</v>
      </c>
      <c r="AD2" s="287" t="s">
        <v>10</v>
      </c>
      <c r="AE2" s="289" t="s">
        <v>4</v>
      </c>
      <c r="AF2" s="214">
        <f>SUM(AF5,AF8,AF11,AF17,AF20,AF23,AF26,AF29,AF32,AF35,AF38,AF41,AF44,AF47,AF50,AF53,AF56,AF59,AF62,AF65)</f>
        <v>60</v>
      </c>
      <c r="AG2" s="568" t="s">
        <v>11</v>
      </c>
    </row>
    <row r="3" spans="1:38" ht="28.9" thickBot="1">
      <c r="A3" s="146" t="s">
        <v>12</v>
      </c>
      <c r="B3" s="630" t="s">
        <v>13</v>
      </c>
      <c r="C3" s="623" t="s">
        <v>13</v>
      </c>
      <c r="D3" s="623" t="s">
        <v>13</v>
      </c>
      <c r="E3" s="623" t="s">
        <v>13</v>
      </c>
      <c r="F3" s="623"/>
      <c r="G3" s="623"/>
      <c r="H3" s="219" t="s">
        <v>13</v>
      </c>
      <c r="I3" s="219" t="s">
        <v>13</v>
      </c>
      <c r="J3" s="219" t="s">
        <v>13</v>
      </c>
      <c r="K3" s="371" t="s">
        <v>13</v>
      </c>
      <c r="L3" s="220" t="s">
        <v>13</v>
      </c>
      <c r="M3" s="123"/>
      <c r="N3" s="114"/>
      <c r="O3" s="623" t="s">
        <v>13</v>
      </c>
      <c r="P3" s="623" t="s">
        <v>13</v>
      </c>
      <c r="Q3" s="623" t="s">
        <v>13</v>
      </c>
      <c r="R3" s="623" t="s">
        <v>13</v>
      </c>
      <c r="S3" s="624" t="s">
        <v>13</v>
      </c>
      <c r="T3" s="623"/>
      <c r="U3" s="626"/>
      <c r="V3" s="219" t="s">
        <v>13</v>
      </c>
      <c r="W3" s="219" t="s">
        <v>13</v>
      </c>
      <c r="X3" s="219" t="s">
        <v>13</v>
      </c>
      <c r="Y3" s="371" t="s">
        <v>13</v>
      </c>
      <c r="Z3" s="220" t="s">
        <v>13</v>
      </c>
      <c r="AA3" s="123"/>
      <c r="AB3" s="114"/>
      <c r="AC3" s="623" t="s">
        <v>13</v>
      </c>
      <c r="AD3" s="623" t="s">
        <v>13</v>
      </c>
      <c r="AE3" s="625" t="s">
        <v>13</v>
      </c>
      <c r="AF3" s="556">
        <f t="shared" ref="AF3:AF15" si="0">SUM(B3:AE3)</f>
        <v>0</v>
      </c>
      <c r="AG3" s="477"/>
    </row>
    <row r="4" spans="1:38" ht="28.9" thickBot="1">
      <c r="A4" s="146" t="s">
        <v>14</v>
      </c>
      <c r="B4" s="223">
        <v>7.5</v>
      </c>
      <c r="C4" s="224">
        <v>7.5</v>
      </c>
      <c r="D4" s="224">
        <v>7.5</v>
      </c>
      <c r="E4" s="224">
        <v>7.5</v>
      </c>
      <c r="F4" s="103"/>
      <c r="G4" s="103"/>
      <c r="H4" s="224">
        <v>7.5</v>
      </c>
      <c r="I4" s="224">
        <v>7.5</v>
      </c>
      <c r="J4" s="224">
        <v>7.5</v>
      </c>
      <c r="K4" s="372">
        <v>7.5</v>
      </c>
      <c r="L4" s="224">
        <v>7.5</v>
      </c>
      <c r="M4" s="103"/>
      <c r="N4" s="103"/>
      <c r="O4" s="224">
        <v>7.5</v>
      </c>
      <c r="P4" s="224">
        <v>7.5</v>
      </c>
      <c r="Q4" s="224">
        <v>7.5</v>
      </c>
      <c r="R4" s="224">
        <v>7.5</v>
      </c>
      <c r="S4" s="224">
        <v>7.5</v>
      </c>
      <c r="T4" s="103"/>
      <c r="U4" s="103"/>
      <c r="V4" s="224">
        <v>7.5</v>
      </c>
      <c r="W4" s="224">
        <v>7.5</v>
      </c>
      <c r="X4" s="224">
        <v>7.5</v>
      </c>
      <c r="Y4" s="372">
        <v>7.5</v>
      </c>
      <c r="Z4" s="224">
        <v>7.5</v>
      </c>
      <c r="AA4" s="103"/>
      <c r="AB4" s="103"/>
      <c r="AC4" s="224">
        <v>7.5</v>
      </c>
      <c r="AD4" s="224">
        <v>7.5</v>
      </c>
      <c r="AE4" s="225">
        <v>7.5</v>
      </c>
      <c r="AF4" s="557">
        <f t="shared" si="0"/>
        <v>165</v>
      </c>
      <c r="AG4" s="477"/>
    </row>
    <row r="5" spans="1:38" ht="28.9" thickBot="1">
      <c r="A5" s="187" t="s">
        <v>15</v>
      </c>
      <c r="B5" s="226"/>
      <c r="C5" s="227"/>
      <c r="D5" s="227"/>
      <c r="E5" s="228"/>
      <c r="F5" s="133"/>
      <c r="G5" s="133"/>
      <c r="H5" s="227"/>
      <c r="I5" s="227"/>
      <c r="J5" s="227"/>
      <c r="K5" s="380"/>
      <c r="L5" s="227"/>
      <c r="M5" s="134"/>
      <c r="N5" s="133"/>
      <c r="O5" s="229"/>
      <c r="P5" s="227"/>
      <c r="Q5" s="229"/>
      <c r="R5" s="227"/>
      <c r="S5" s="227"/>
      <c r="T5" s="134"/>
      <c r="U5" s="133"/>
      <c r="V5" s="229"/>
      <c r="W5" s="227"/>
      <c r="X5" s="230"/>
      <c r="Y5" s="373"/>
      <c r="Z5" s="231"/>
      <c r="AA5" s="138"/>
      <c r="AB5" s="137"/>
      <c r="AC5" s="233"/>
      <c r="AD5" s="232"/>
      <c r="AE5" s="231"/>
      <c r="AF5" s="558">
        <f t="shared" si="0"/>
        <v>0</v>
      </c>
      <c r="AG5" s="478"/>
    </row>
    <row r="6" spans="1:38" ht="29.45" thickBot="1">
      <c r="A6" s="146" t="s">
        <v>16</v>
      </c>
      <c r="B6" s="218" t="s">
        <v>13</v>
      </c>
      <c r="C6" s="219" t="s">
        <v>13</v>
      </c>
      <c r="D6" s="219" t="s">
        <v>13</v>
      </c>
      <c r="E6" s="219" t="s">
        <v>13</v>
      </c>
      <c r="F6" s="114"/>
      <c r="G6" s="114"/>
      <c r="H6" s="623" t="s">
        <v>13</v>
      </c>
      <c r="I6" s="623" t="s">
        <v>13</v>
      </c>
      <c r="J6" s="623" t="s">
        <v>13</v>
      </c>
      <c r="K6" s="623" t="s">
        <v>13</v>
      </c>
      <c r="L6" s="624" t="s">
        <v>13</v>
      </c>
      <c r="M6" s="625"/>
      <c r="N6" s="623"/>
      <c r="O6" s="219" t="s">
        <v>13</v>
      </c>
      <c r="P6" s="219" t="s">
        <v>13</v>
      </c>
      <c r="Q6" s="219" t="s">
        <v>13</v>
      </c>
      <c r="R6" s="219" t="s">
        <v>13</v>
      </c>
      <c r="S6" s="220" t="s">
        <v>13</v>
      </c>
      <c r="T6" s="114"/>
      <c r="U6" s="105"/>
      <c r="V6" s="623" t="s">
        <v>13</v>
      </c>
      <c r="W6" s="623" t="s">
        <v>13</v>
      </c>
      <c r="X6" s="623" t="s">
        <v>13</v>
      </c>
      <c r="Y6" s="623" t="s">
        <v>13</v>
      </c>
      <c r="Z6" s="624" t="s">
        <v>13</v>
      </c>
      <c r="AA6" s="625"/>
      <c r="AB6" s="623"/>
      <c r="AC6" s="219" t="s">
        <v>13</v>
      </c>
      <c r="AD6" s="219" t="s">
        <v>13</v>
      </c>
      <c r="AE6" s="221" t="s">
        <v>13</v>
      </c>
      <c r="AF6" s="556">
        <f t="shared" si="0"/>
        <v>0</v>
      </c>
      <c r="AG6" s="569"/>
      <c r="AJ6" s="209"/>
      <c r="AK6" s="210"/>
      <c r="AL6" s="211"/>
    </row>
    <row r="7" spans="1:38" ht="29.45" thickBot="1">
      <c r="A7" s="146" t="s">
        <v>19</v>
      </c>
      <c r="B7" s="223">
        <v>7.5</v>
      </c>
      <c r="C7" s="224">
        <v>7.5</v>
      </c>
      <c r="D7" s="224">
        <v>7.5</v>
      </c>
      <c r="E7" s="224">
        <v>7.5</v>
      </c>
      <c r="F7" s="103"/>
      <c r="G7" s="103"/>
      <c r="H7" s="224">
        <v>7.5</v>
      </c>
      <c r="I7" s="224">
        <v>7.5</v>
      </c>
      <c r="J7" s="224">
        <v>7.5</v>
      </c>
      <c r="K7" s="372">
        <v>7.5</v>
      </c>
      <c r="L7" s="224">
        <v>7.5</v>
      </c>
      <c r="M7" s="103"/>
      <c r="N7" s="103"/>
      <c r="O7" s="224">
        <v>7.5</v>
      </c>
      <c r="P7" s="224">
        <v>7.5</v>
      </c>
      <c r="Q7" s="224">
        <v>7.5</v>
      </c>
      <c r="R7" s="224">
        <v>7.5</v>
      </c>
      <c r="S7" s="224">
        <v>7.5</v>
      </c>
      <c r="T7" s="103"/>
      <c r="U7" s="103"/>
      <c r="V7" s="224">
        <v>7.5</v>
      </c>
      <c r="W7" s="224">
        <v>7.5</v>
      </c>
      <c r="X7" s="224">
        <v>7.5</v>
      </c>
      <c r="Y7" s="372">
        <v>7.5</v>
      </c>
      <c r="Z7" s="224">
        <v>7.5</v>
      </c>
      <c r="AA7" s="103"/>
      <c r="AB7" s="103"/>
      <c r="AC7" s="224">
        <v>7.5</v>
      </c>
      <c r="AD7" s="224">
        <v>7.5</v>
      </c>
      <c r="AE7" s="225">
        <v>7.5</v>
      </c>
      <c r="AF7" s="557">
        <f t="shared" si="0"/>
        <v>165</v>
      </c>
      <c r="AG7" s="570">
        <f>SUM(AF7-AF67)</f>
        <v>5</v>
      </c>
      <c r="AJ7" s="210"/>
      <c r="AK7" s="210"/>
      <c r="AL7" s="212"/>
    </row>
    <row r="8" spans="1:38" ht="29.45" thickBot="1">
      <c r="A8" s="187" t="s">
        <v>20</v>
      </c>
      <c r="B8" s="226"/>
      <c r="C8" s="227"/>
      <c r="D8" s="227"/>
      <c r="E8" s="228"/>
      <c r="F8" s="133"/>
      <c r="G8" s="133"/>
      <c r="H8" s="227"/>
      <c r="I8" s="227"/>
      <c r="J8" s="227"/>
      <c r="K8" s="380"/>
      <c r="L8" s="227"/>
      <c r="M8" s="134"/>
      <c r="N8" s="133"/>
      <c r="O8" s="229"/>
      <c r="P8" s="227"/>
      <c r="Q8" s="229"/>
      <c r="R8" s="227"/>
      <c r="S8" s="227"/>
      <c r="T8" s="134"/>
      <c r="U8" s="133"/>
      <c r="V8" s="229"/>
      <c r="W8" s="227"/>
      <c r="X8" s="230"/>
      <c r="Y8" s="373"/>
      <c r="Z8" s="231"/>
      <c r="AA8" s="138"/>
      <c r="AB8" s="137"/>
      <c r="AC8" s="233"/>
      <c r="AD8" s="232"/>
      <c r="AE8" s="231"/>
      <c r="AF8" s="558">
        <f t="shared" si="0"/>
        <v>0</v>
      </c>
      <c r="AG8" s="571"/>
      <c r="AJ8" s="210"/>
      <c r="AK8" s="210"/>
      <c r="AL8" s="212"/>
    </row>
    <row r="9" spans="1:38" ht="29.45" thickBot="1">
      <c r="A9" s="173" t="s">
        <v>21</v>
      </c>
      <c r="B9" s="234" t="s">
        <v>18</v>
      </c>
      <c r="C9" s="235" t="s">
        <v>18</v>
      </c>
      <c r="D9" s="235"/>
      <c r="E9" s="236"/>
      <c r="F9" s="208"/>
      <c r="G9" s="207"/>
      <c r="H9" s="235" t="s">
        <v>18</v>
      </c>
      <c r="I9" s="235" t="s">
        <v>18</v>
      </c>
      <c r="J9" s="238"/>
      <c r="K9" s="374"/>
      <c r="L9" s="239"/>
      <c r="M9" s="336"/>
      <c r="N9" s="207" t="s">
        <v>18</v>
      </c>
      <c r="O9" s="235" t="s">
        <v>18</v>
      </c>
      <c r="P9" s="235"/>
      <c r="Q9" s="235"/>
      <c r="R9" s="235"/>
      <c r="S9" s="239"/>
      <c r="T9" s="358" t="s">
        <v>18</v>
      </c>
      <c r="U9" s="434" t="s">
        <v>18</v>
      </c>
      <c r="V9" s="235"/>
      <c r="W9" s="235"/>
      <c r="X9" s="243"/>
      <c r="Y9" s="412"/>
      <c r="Z9" s="239" t="s">
        <v>18</v>
      </c>
      <c r="AA9" s="208" t="s">
        <v>18</v>
      </c>
      <c r="AB9" s="208"/>
      <c r="AC9" s="236"/>
      <c r="AD9" s="236"/>
      <c r="AE9" s="245"/>
      <c r="AF9" s="556">
        <f t="shared" si="0"/>
        <v>0</v>
      </c>
      <c r="AG9" s="572"/>
      <c r="AJ9" s="210"/>
      <c r="AK9" s="210"/>
      <c r="AL9" s="212"/>
    </row>
    <row r="10" spans="1:38" ht="28.9" thickBot="1">
      <c r="A10" s="146" t="s">
        <v>22</v>
      </c>
      <c r="B10" s="223">
        <v>15</v>
      </c>
      <c r="C10" s="224">
        <v>15</v>
      </c>
      <c r="D10" s="224">
        <v>0.5</v>
      </c>
      <c r="E10" s="224"/>
      <c r="F10" s="108"/>
      <c r="G10" s="108"/>
      <c r="H10" s="224">
        <v>15</v>
      </c>
      <c r="I10" s="224">
        <v>15</v>
      </c>
      <c r="J10" s="224">
        <v>0.5</v>
      </c>
      <c r="K10" s="372">
        <v>5</v>
      </c>
      <c r="L10" s="246"/>
      <c r="M10" s="109"/>
      <c r="N10" s="108">
        <v>15</v>
      </c>
      <c r="O10" s="224">
        <v>15</v>
      </c>
      <c r="P10" s="224">
        <v>0.5</v>
      </c>
      <c r="Q10" s="224"/>
      <c r="R10" s="224"/>
      <c r="S10" s="246"/>
      <c r="T10" s="107">
        <v>15</v>
      </c>
      <c r="U10" s="108">
        <v>15</v>
      </c>
      <c r="V10" s="224">
        <v>0.5</v>
      </c>
      <c r="W10" s="224"/>
      <c r="X10" s="224"/>
      <c r="Y10" s="372">
        <v>5</v>
      </c>
      <c r="Z10" s="248">
        <v>15</v>
      </c>
      <c r="AA10" s="109">
        <v>15</v>
      </c>
      <c r="AB10" s="108">
        <v>0.5</v>
      </c>
      <c r="AC10" s="224"/>
      <c r="AD10" s="224"/>
      <c r="AE10" s="225"/>
      <c r="AF10" s="557">
        <f t="shared" si="0"/>
        <v>162.5</v>
      </c>
      <c r="AG10" s="570">
        <f>SUM(AF10-AF67)</f>
        <v>2.5</v>
      </c>
    </row>
    <row r="11" spans="1:38" ht="28.9" thickBot="1">
      <c r="A11" s="187" t="s">
        <v>23</v>
      </c>
      <c r="B11" s="226">
        <v>1</v>
      </c>
      <c r="C11" s="227">
        <v>1</v>
      </c>
      <c r="D11" s="227"/>
      <c r="E11" s="228"/>
      <c r="F11" s="133"/>
      <c r="G11" s="133"/>
      <c r="H11" s="227">
        <v>1</v>
      </c>
      <c r="I11" s="227">
        <v>1</v>
      </c>
      <c r="J11" s="227"/>
      <c r="K11" s="380"/>
      <c r="L11" s="227"/>
      <c r="M11" s="134"/>
      <c r="N11" s="133">
        <v>1</v>
      </c>
      <c r="O11" s="227">
        <v>1</v>
      </c>
      <c r="P11" s="228"/>
      <c r="Q11" s="229"/>
      <c r="R11" s="227"/>
      <c r="S11" s="227"/>
      <c r="T11" s="134">
        <v>1</v>
      </c>
      <c r="U11" s="133">
        <v>1</v>
      </c>
      <c r="V11" s="229"/>
      <c r="W11" s="227"/>
      <c r="X11" s="229"/>
      <c r="Y11" s="373"/>
      <c r="Z11" s="229">
        <v>1</v>
      </c>
      <c r="AA11" s="136">
        <v>1</v>
      </c>
      <c r="AB11" s="133"/>
      <c r="AC11" s="229"/>
      <c r="AD11" s="227"/>
      <c r="AE11" s="230"/>
      <c r="AF11" s="558">
        <f t="shared" si="0"/>
        <v>10</v>
      </c>
      <c r="AG11" s="569"/>
    </row>
    <row r="12" spans="1:38" ht="30" hidden="1" customHeight="1" thickBot="1">
      <c r="A12" s="173"/>
      <c r="B12" s="249"/>
      <c r="C12" s="250"/>
      <c r="D12" s="251"/>
      <c r="E12" s="246"/>
      <c r="F12" s="108"/>
      <c r="G12" s="102"/>
      <c r="H12" s="251"/>
      <c r="I12" s="251"/>
      <c r="J12" s="251"/>
      <c r="K12" s="399"/>
      <c r="L12" s="246"/>
      <c r="M12" s="109"/>
      <c r="N12" s="102"/>
      <c r="O12" s="251"/>
      <c r="P12" s="222"/>
      <c r="Q12" s="246"/>
      <c r="R12" s="252"/>
      <c r="S12" s="246"/>
      <c r="T12" s="105"/>
      <c r="U12" s="111"/>
      <c r="V12" s="222"/>
      <c r="W12" s="222"/>
      <c r="X12" s="253"/>
      <c r="Y12" s="379"/>
      <c r="Z12" s="222"/>
      <c r="AA12" s="112"/>
      <c r="AB12" s="105"/>
      <c r="AC12" s="248"/>
      <c r="AD12" s="248"/>
      <c r="AE12" s="252"/>
      <c r="AF12" s="556">
        <f t="shared" si="0"/>
        <v>0</v>
      </c>
      <c r="AG12" s="573"/>
    </row>
    <row r="13" spans="1:38" ht="30" hidden="1" customHeight="1" thickBot="1">
      <c r="A13" s="146"/>
      <c r="B13" s="255"/>
      <c r="C13" s="248"/>
      <c r="D13" s="246"/>
      <c r="E13" s="246"/>
      <c r="F13" s="108"/>
      <c r="G13" s="108"/>
      <c r="H13" s="246"/>
      <c r="I13" s="248"/>
      <c r="J13" s="246"/>
      <c r="K13" s="376"/>
      <c r="L13" s="246"/>
      <c r="M13" s="109"/>
      <c r="N13" s="108"/>
      <c r="O13" s="248"/>
      <c r="P13" s="246"/>
      <c r="Q13" s="246"/>
      <c r="R13" s="252"/>
      <c r="S13" s="246"/>
      <c r="T13" s="108"/>
      <c r="U13" s="107"/>
      <c r="V13" s="246"/>
      <c r="W13" s="246"/>
      <c r="X13" s="246"/>
      <c r="Y13" s="376"/>
      <c r="Z13" s="246"/>
      <c r="AA13" s="113"/>
      <c r="AB13" s="108"/>
      <c r="AC13" s="248"/>
      <c r="AD13" s="248"/>
      <c r="AE13" s="252"/>
      <c r="AF13" s="557">
        <f t="shared" si="0"/>
        <v>0</v>
      </c>
      <c r="AG13" s="570">
        <v>2</v>
      </c>
    </row>
    <row r="14" spans="1:38" ht="30" hidden="1" customHeight="1" thickBot="1">
      <c r="A14" s="187"/>
      <c r="B14" s="226"/>
      <c r="C14" s="227"/>
      <c r="D14" s="227"/>
      <c r="E14" s="228"/>
      <c r="F14" s="133"/>
      <c r="G14" s="133"/>
      <c r="H14" s="227"/>
      <c r="I14" s="227"/>
      <c r="J14" s="227"/>
      <c r="K14" s="380"/>
      <c r="L14" s="227"/>
      <c r="M14" s="134"/>
      <c r="N14" s="133"/>
      <c r="O14" s="229"/>
      <c r="P14" s="227"/>
      <c r="Q14" s="229"/>
      <c r="R14" s="227"/>
      <c r="S14" s="227"/>
      <c r="T14" s="134"/>
      <c r="U14" s="133"/>
      <c r="V14" s="229"/>
      <c r="W14" s="227"/>
      <c r="X14" s="229"/>
      <c r="Y14" s="373"/>
      <c r="Z14" s="227"/>
      <c r="AA14" s="136"/>
      <c r="AB14" s="133"/>
      <c r="AC14" s="229"/>
      <c r="AD14" s="227"/>
      <c r="AE14" s="230"/>
      <c r="AF14" s="558">
        <f t="shared" si="0"/>
        <v>0</v>
      </c>
      <c r="AG14" s="569"/>
    </row>
    <row r="15" spans="1:38" ht="28.9" thickBot="1">
      <c r="A15" s="173" t="s">
        <v>24</v>
      </c>
      <c r="B15" s="255"/>
      <c r="C15" s="248"/>
      <c r="D15" s="248"/>
      <c r="E15" s="248"/>
      <c r="F15" s="108" t="s">
        <v>18</v>
      </c>
      <c r="G15" s="105" t="s">
        <v>18</v>
      </c>
      <c r="H15" s="253"/>
      <c r="I15" s="222"/>
      <c r="J15" s="248"/>
      <c r="K15" s="376"/>
      <c r="L15" s="246" t="s">
        <v>18</v>
      </c>
      <c r="M15" s="106" t="s">
        <v>18</v>
      </c>
      <c r="N15" s="105"/>
      <c r="O15" s="222"/>
      <c r="P15" s="248"/>
      <c r="Q15" s="246"/>
      <c r="R15" s="246" t="s">
        <v>18</v>
      </c>
      <c r="S15" s="257" t="s">
        <v>18</v>
      </c>
      <c r="T15" s="105"/>
      <c r="U15" s="105"/>
      <c r="V15" s="248"/>
      <c r="W15" s="246"/>
      <c r="X15" s="246" t="s">
        <v>18</v>
      </c>
      <c r="Y15" s="379" t="s">
        <v>18</v>
      </c>
      <c r="Z15" s="253"/>
      <c r="AA15" s="106"/>
      <c r="AB15" s="108"/>
      <c r="AC15" s="246"/>
      <c r="AD15" s="246" t="s">
        <v>18</v>
      </c>
      <c r="AE15" s="247" t="s">
        <v>18</v>
      </c>
      <c r="AF15" s="556">
        <f t="shared" si="0"/>
        <v>0</v>
      </c>
      <c r="AG15" s="573"/>
    </row>
    <row r="16" spans="1:38" ht="28.9" thickBot="1">
      <c r="A16" s="146" t="s">
        <v>25</v>
      </c>
      <c r="B16" s="255"/>
      <c r="C16" s="248"/>
      <c r="D16" s="248"/>
      <c r="E16" s="248"/>
      <c r="F16" s="108">
        <v>15</v>
      </c>
      <c r="G16" s="108">
        <v>15</v>
      </c>
      <c r="H16" s="248">
        <v>0.5</v>
      </c>
      <c r="I16" s="246"/>
      <c r="J16" s="248"/>
      <c r="K16" s="376">
        <v>5</v>
      </c>
      <c r="L16" s="246">
        <v>15</v>
      </c>
      <c r="M16" s="109">
        <v>15</v>
      </c>
      <c r="N16" s="108">
        <v>0.5</v>
      </c>
      <c r="O16" s="246"/>
      <c r="P16" s="248"/>
      <c r="Q16" s="246"/>
      <c r="R16" s="244">
        <v>15</v>
      </c>
      <c r="S16" s="246">
        <v>15</v>
      </c>
      <c r="T16" s="107">
        <v>0.5</v>
      </c>
      <c r="U16" s="108"/>
      <c r="V16" s="248"/>
      <c r="W16" s="246"/>
      <c r="X16" s="246">
        <v>15</v>
      </c>
      <c r="Y16" s="376">
        <v>15</v>
      </c>
      <c r="Z16" s="248">
        <v>0.5</v>
      </c>
      <c r="AA16" s="109"/>
      <c r="AB16" s="108"/>
      <c r="AC16" s="246"/>
      <c r="AD16" s="246">
        <v>15</v>
      </c>
      <c r="AE16" s="247">
        <v>15</v>
      </c>
      <c r="AF16" s="557">
        <f>SUM(B16:AE16)</f>
        <v>157</v>
      </c>
      <c r="AG16" s="570">
        <f>SUM(AF16-AF67)</f>
        <v>-3</v>
      </c>
    </row>
    <row r="17" spans="1:101" ht="28.9" thickBot="1">
      <c r="A17" s="187" t="s">
        <v>23</v>
      </c>
      <c r="B17" s="226"/>
      <c r="C17" s="227"/>
      <c r="D17" s="227"/>
      <c r="E17" s="228"/>
      <c r="F17" s="133">
        <v>1</v>
      </c>
      <c r="G17" s="133">
        <v>1</v>
      </c>
      <c r="H17" s="227"/>
      <c r="I17" s="227"/>
      <c r="J17" s="227"/>
      <c r="K17" s="380"/>
      <c r="L17" s="227">
        <v>1</v>
      </c>
      <c r="M17" s="134">
        <v>1</v>
      </c>
      <c r="N17" s="133"/>
      <c r="O17" s="229"/>
      <c r="P17" s="227"/>
      <c r="Q17" s="229"/>
      <c r="R17" s="227">
        <v>1</v>
      </c>
      <c r="S17" s="227">
        <v>1</v>
      </c>
      <c r="T17" s="134"/>
      <c r="U17" s="133"/>
      <c r="V17" s="229"/>
      <c r="W17" s="227"/>
      <c r="X17" s="229">
        <v>1</v>
      </c>
      <c r="Y17" s="373">
        <v>1</v>
      </c>
      <c r="Z17" s="227"/>
      <c r="AA17" s="136"/>
      <c r="AB17" s="133"/>
      <c r="AC17" s="229"/>
      <c r="AD17" s="227">
        <v>1</v>
      </c>
      <c r="AE17" s="230">
        <v>1</v>
      </c>
      <c r="AF17" s="558">
        <f t="shared" ref="AF17:AF35" si="1">SUM(B17:AE17)</f>
        <v>10</v>
      </c>
      <c r="AG17" s="569"/>
    </row>
    <row r="18" spans="1:101" ht="28.9" thickBot="1">
      <c r="A18" s="173" t="s">
        <v>26</v>
      </c>
      <c r="B18" s="218"/>
      <c r="C18" s="219"/>
      <c r="D18" s="219" t="s">
        <v>18</v>
      </c>
      <c r="E18" s="219" t="s">
        <v>18</v>
      </c>
      <c r="F18" s="114"/>
      <c r="G18" s="114"/>
      <c r="H18" s="219"/>
      <c r="I18" s="219"/>
      <c r="J18" s="219" t="s">
        <v>18</v>
      </c>
      <c r="K18" s="371" t="s">
        <v>18</v>
      </c>
      <c r="L18" s="220"/>
      <c r="M18" s="123"/>
      <c r="N18" s="114"/>
      <c r="O18" s="219"/>
      <c r="P18" s="219" t="s">
        <v>18</v>
      </c>
      <c r="Q18" s="219" t="s">
        <v>18</v>
      </c>
      <c r="R18" s="219"/>
      <c r="S18" s="220"/>
      <c r="T18" s="114"/>
      <c r="U18" s="105"/>
      <c r="V18" s="219" t="s">
        <v>18</v>
      </c>
      <c r="W18" s="219" t="s">
        <v>18</v>
      </c>
      <c r="X18" s="219"/>
      <c r="Y18" s="371"/>
      <c r="Z18" s="220"/>
      <c r="AA18" s="123"/>
      <c r="AB18" s="114" t="s">
        <v>18</v>
      </c>
      <c r="AC18" s="219" t="s">
        <v>18</v>
      </c>
      <c r="AD18" s="219"/>
      <c r="AE18" s="221"/>
      <c r="AF18" s="556">
        <f t="shared" si="1"/>
        <v>0</v>
      </c>
      <c r="AG18" s="573"/>
    </row>
    <row r="19" spans="1:101" ht="33" customHeight="1" thickBot="1">
      <c r="A19" s="146" t="s">
        <v>27</v>
      </c>
      <c r="B19" s="223"/>
      <c r="C19" s="224"/>
      <c r="D19" s="224">
        <v>15</v>
      </c>
      <c r="E19" s="224">
        <v>15</v>
      </c>
      <c r="F19" s="103">
        <v>0.5</v>
      </c>
      <c r="G19" s="103"/>
      <c r="H19" s="224"/>
      <c r="I19" s="224"/>
      <c r="J19" s="224">
        <v>15</v>
      </c>
      <c r="K19" s="372">
        <v>15</v>
      </c>
      <c r="L19" s="224">
        <v>0.5</v>
      </c>
      <c r="M19" s="103"/>
      <c r="N19" s="103"/>
      <c r="O19" s="224"/>
      <c r="P19" s="224">
        <v>15</v>
      </c>
      <c r="Q19" s="224">
        <v>15</v>
      </c>
      <c r="R19" s="224">
        <v>0.5</v>
      </c>
      <c r="S19" s="224"/>
      <c r="T19" s="103"/>
      <c r="U19" s="103"/>
      <c r="V19" s="224">
        <v>15</v>
      </c>
      <c r="W19" s="224">
        <v>15</v>
      </c>
      <c r="X19" s="224">
        <v>0.5</v>
      </c>
      <c r="Y19" s="372">
        <v>5</v>
      </c>
      <c r="Z19" s="224"/>
      <c r="AA19" s="103"/>
      <c r="AB19" s="103">
        <v>15</v>
      </c>
      <c r="AC19" s="224">
        <v>15</v>
      </c>
      <c r="AD19" s="224">
        <v>0.5</v>
      </c>
      <c r="AE19" s="225"/>
      <c r="AF19" s="557">
        <f t="shared" si="1"/>
        <v>157.5</v>
      </c>
      <c r="AG19" s="570">
        <f>SUM(AF19-AF67)</f>
        <v>-2.5</v>
      </c>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row>
    <row r="20" spans="1:101" ht="30" customHeight="1" thickBot="1">
      <c r="A20" s="187" t="s">
        <v>28</v>
      </c>
      <c r="B20" s="226"/>
      <c r="C20" s="227"/>
      <c r="D20" s="227">
        <v>1</v>
      </c>
      <c r="E20" s="228">
        <v>1</v>
      </c>
      <c r="F20" s="133"/>
      <c r="G20" s="133"/>
      <c r="H20" s="227"/>
      <c r="I20" s="227"/>
      <c r="J20" s="227">
        <v>1</v>
      </c>
      <c r="K20" s="380">
        <v>1</v>
      </c>
      <c r="L20" s="227"/>
      <c r="M20" s="134"/>
      <c r="N20" s="133"/>
      <c r="O20" s="229"/>
      <c r="P20" s="227">
        <v>1</v>
      </c>
      <c r="Q20" s="229">
        <v>1</v>
      </c>
      <c r="R20" s="227"/>
      <c r="S20" s="227"/>
      <c r="T20" s="134"/>
      <c r="U20" s="133"/>
      <c r="V20" s="229">
        <v>1</v>
      </c>
      <c r="W20" s="227">
        <v>1</v>
      </c>
      <c r="X20" s="230"/>
      <c r="Y20" s="373"/>
      <c r="Z20" s="231"/>
      <c r="AA20" s="138"/>
      <c r="AB20" s="137">
        <v>1</v>
      </c>
      <c r="AC20" s="233">
        <v>1</v>
      </c>
      <c r="AD20" s="232"/>
      <c r="AE20" s="231"/>
      <c r="AF20" s="558">
        <f t="shared" si="1"/>
        <v>10</v>
      </c>
      <c r="AG20" s="569"/>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row>
    <row r="21" spans="1:101" ht="37.9" customHeight="1" thickBot="1">
      <c r="A21" s="173" t="s">
        <v>29</v>
      </c>
      <c r="B21" s="255"/>
      <c r="C21" s="246" t="s">
        <v>18</v>
      </c>
      <c r="D21" s="246" t="s">
        <v>18</v>
      </c>
      <c r="E21" s="246"/>
      <c r="F21" s="108"/>
      <c r="G21" s="108"/>
      <c r="H21" s="246"/>
      <c r="I21" s="246" t="s">
        <v>18</v>
      </c>
      <c r="J21" s="246" t="s">
        <v>18</v>
      </c>
      <c r="K21" s="376"/>
      <c r="L21" s="248"/>
      <c r="M21" s="109"/>
      <c r="N21" s="108"/>
      <c r="O21" s="246" t="s">
        <v>18</v>
      </c>
      <c r="P21" s="246" t="s">
        <v>18</v>
      </c>
      <c r="Q21" s="252"/>
      <c r="R21" s="246"/>
      <c r="S21" s="246"/>
      <c r="T21" s="113"/>
      <c r="U21" s="108" t="s">
        <v>18</v>
      </c>
      <c r="V21" s="247" t="s">
        <v>18</v>
      </c>
      <c r="W21" s="246"/>
      <c r="X21" s="252"/>
      <c r="Y21" s="376"/>
      <c r="Z21" s="222"/>
      <c r="AA21" s="112" t="s">
        <v>18</v>
      </c>
      <c r="AB21" s="105" t="s">
        <v>18</v>
      </c>
      <c r="AC21" s="254"/>
      <c r="AD21" s="222"/>
      <c r="AE21" s="645"/>
      <c r="AF21" s="556">
        <f t="shared" si="1"/>
        <v>0</v>
      </c>
      <c r="AG21" s="573"/>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row>
    <row r="22" spans="1:101" ht="34.15" customHeight="1" thickBot="1">
      <c r="A22" s="146" t="s">
        <v>30</v>
      </c>
      <c r="B22" s="255"/>
      <c r="C22" s="246">
        <v>15</v>
      </c>
      <c r="D22" s="246">
        <v>15</v>
      </c>
      <c r="E22" s="246">
        <v>0.5</v>
      </c>
      <c r="F22" s="108"/>
      <c r="G22" s="108"/>
      <c r="H22" s="246"/>
      <c r="I22" s="246">
        <v>15</v>
      </c>
      <c r="J22" s="246">
        <v>15</v>
      </c>
      <c r="K22" s="376">
        <v>4.5</v>
      </c>
      <c r="L22" s="248"/>
      <c r="M22" s="109"/>
      <c r="N22" s="108"/>
      <c r="O22" s="246">
        <v>15</v>
      </c>
      <c r="P22" s="246">
        <v>15</v>
      </c>
      <c r="Q22" s="252">
        <v>0.5</v>
      </c>
      <c r="R22" s="246"/>
      <c r="S22" s="246"/>
      <c r="T22" s="113"/>
      <c r="U22" s="108">
        <v>15</v>
      </c>
      <c r="V22" s="247">
        <v>15</v>
      </c>
      <c r="W22" s="246">
        <v>0.5</v>
      </c>
      <c r="X22" s="252"/>
      <c r="Y22" s="376">
        <v>4</v>
      </c>
      <c r="Z22" s="246"/>
      <c r="AA22" s="113">
        <v>15</v>
      </c>
      <c r="AB22" s="108">
        <v>15</v>
      </c>
      <c r="AC22" s="252">
        <v>0.5</v>
      </c>
      <c r="AD22" s="246"/>
      <c r="AE22" s="252"/>
      <c r="AF22" s="557">
        <f t="shared" si="1"/>
        <v>160.5</v>
      </c>
      <c r="AG22" s="570">
        <f>SUM(AF22-AF67)</f>
        <v>0.5</v>
      </c>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row>
    <row r="23" spans="1:101" ht="28.15" customHeight="1" thickBot="1">
      <c r="A23" s="187" t="s">
        <v>28</v>
      </c>
      <c r="B23" s="226"/>
      <c r="C23" s="227">
        <v>1</v>
      </c>
      <c r="D23" s="227">
        <v>1</v>
      </c>
      <c r="E23" s="227"/>
      <c r="F23" s="133"/>
      <c r="G23" s="133"/>
      <c r="H23" s="227"/>
      <c r="I23" s="227">
        <v>1</v>
      </c>
      <c r="J23" s="227">
        <v>1</v>
      </c>
      <c r="K23" s="373"/>
      <c r="L23" s="228"/>
      <c r="M23" s="136"/>
      <c r="N23" s="133"/>
      <c r="O23" s="227">
        <v>1</v>
      </c>
      <c r="P23" s="227">
        <v>1</v>
      </c>
      <c r="Q23" s="229"/>
      <c r="R23" s="227"/>
      <c r="S23" s="227"/>
      <c r="T23" s="134"/>
      <c r="U23" s="133">
        <v>1</v>
      </c>
      <c r="V23" s="230">
        <v>1</v>
      </c>
      <c r="W23" s="227"/>
      <c r="X23" s="229"/>
      <c r="Y23" s="373"/>
      <c r="Z23" s="227"/>
      <c r="AA23" s="134">
        <v>1</v>
      </c>
      <c r="AB23" s="133">
        <v>1</v>
      </c>
      <c r="AC23" s="229"/>
      <c r="AD23" s="227"/>
      <c r="AE23" s="606"/>
      <c r="AF23" s="558">
        <f t="shared" si="1"/>
        <v>10</v>
      </c>
      <c r="AG23" s="569"/>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row>
    <row r="24" spans="1:101" ht="28.9" hidden="1" thickBot="1">
      <c r="A24" s="173"/>
      <c r="B24" s="292"/>
      <c r="C24" s="220"/>
      <c r="D24" s="220"/>
      <c r="E24" s="220"/>
      <c r="F24" s="122"/>
      <c r="G24" s="122"/>
      <c r="H24" s="220"/>
      <c r="I24" s="220"/>
      <c r="J24" s="220"/>
      <c r="K24" s="382"/>
      <c r="L24" s="220"/>
      <c r="M24" s="342"/>
      <c r="N24" s="122"/>
      <c r="O24" s="220"/>
      <c r="P24" s="220"/>
      <c r="Q24" s="220"/>
      <c r="R24" s="220"/>
      <c r="S24" s="220"/>
      <c r="T24" s="427"/>
      <c r="U24" s="122"/>
      <c r="V24" s="293"/>
      <c r="W24" s="220"/>
      <c r="X24" s="426"/>
      <c r="Y24" s="382"/>
      <c r="Z24" s="220"/>
      <c r="AA24" s="427"/>
      <c r="AB24" s="122"/>
      <c r="AC24" s="426"/>
      <c r="AD24" s="220"/>
      <c r="AE24" s="426"/>
      <c r="AF24" s="556">
        <f t="shared" si="1"/>
        <v>0</v>
      </c>
      <c r="AG24" s="573"/>
    </row>
    <row r="25" spans="1:101" ht="28.9" hidden="1" thickBot="1">
      <c r="A25" s="146"/>
      <c r="B25" s="255"/>
      <c r="C25" s="246"/>
      <c r="D25" s="246"/>
      <c r="E25" s="246"/>
      <c r="F25" s="108"/>
      <c r="G25" s="108"/>
      <c r="H25" s="246"/>
      <c r="I25" s="246"/>
      <c r="J25" s="246"/>
      <c r="K25" s="376"/>
      <c r="L25" s="246"/>
      <c r="M25" s="109"/>
      <c r="N25" s="108"/>
      <c r="O25" s="246"/>
      <c r="P25" s="246"/>
      <c r="Q25" s="246"/>
      <c r="R25" s="246"/>
      <c r="S25" s="246"/>
      <c r="T25" s="113"/>
      <c r="U25" s="108"/>
      <c r="V25" s="246"/>
      <c r="W25" s="246"/>
      <c r="X25" s="252"/>
      <c r="Y25" s="376"/>
      <c r="Z25" s="246"/>
      <c r="AA25" s="108"/>
      <c r="AB25" s="108"/>
      <c r="AC25" s="252"/>
      <c r="AD25" s="246"/>
      <c r="AE25" s="252"/>
      <c r="AF25" s="557">
        <f t="shared" si="1"/>
        <v>0</v>
      </c>
      <c r="AG25" s="570">
        <f>SUM(AF25-AF67)</f>
        <v>-160</v>
      </c>
    </row>
    <row r="26" spans="1:101" ht="28.9" hidden="1" thickBot="1">
      <c r="A26" s="187"/>
      <c r="B26" s="226"/>
      <c r="C26" s="227"/>
      <c r="D26" s="227"/>
      <c r="E26" s="227"/>
      <c r="F26" s="133"/>
      <c r="G26" s="133"/>
      <c r="H26" s="227"/>
      <c r="I26" s="227"/>
      <c r="J26" s="227"/>
      <c r="K26" s="373"/>
      <c r="L26" s="228"/>
      <c r="M26" s="136"/>
      <c r="N26" s="133"/>
      <c r="O26" s="227"/>
      <c r="P26" s="227"/>
      <c r="Q26" s="227"/>
      <c r="R26" s="227"/>
      <c r="S26" s="228"/>
      <c r="T26" s="134"/>
      <c r="U26" s="133"/>
      <c r="V26" s="230"/>
      <c r="W26" s="227"/>
      <c r="X26" s="229"/>
      <c r="Y26" s="373"/>
      <c r="Z26" s="227"/>
      <c r="AA26" s="134"/>
      <c r="AB26" s="133"/>
      <c r="AC26" s="229"/>
      <c r="AD26" s="227"/>
      <c r="AE26" s="229"/>
      <c r="AF26" s="558">
        <f t="shared" si="1"/>
        <v>0</v>
      </c>
      <c r="AG26" s="569"/>
    </row>
    <row r="27" spans="1:101" ht="28.9" thickBot="1">
      <c r="A27" s="465" t="s">
        <v>31</v>
      </c>
      <c r="B27" s="246" t="s">
        <v>18</v>
      </c>
      <c r="C27" s="246"/>
      <c r="D27" s="246"/>
      <c r="E27" s="246"/>
      <c r="F27" s="108"/>
      <c r="G27" s="108" t="s">
        <v>18</v>
      </c>
      <c r="H27" s="246" t="s">
        <v>18</v>
      </c>
      <c r="I27" s="246"/>
      <c r="J27" s="246"/>
      <c r="K27" s="376"/>
      <c r="L27" s="248"/>
      <c r="M27" s="109" t="s">
        <v>18</v>
      </c>
      <c r="N27" s="108" t="s">
        <v>18</v>
      </c>
      <c r="O27" s="246"/>
      <c r="P27" s="246"/>
      <c r="Q27" s="252"/>
      <c r="R27" s="246"/>
      <c r="S27" s="246" t="s">
        <v>18</v>
      </c>
      <c r="T27" s="108" t="s">
        <v>18</v>
      </c>
      <c r="U27" s="108"/>
      <c r="V27" s="246"/>
      <c r="W27" s="224"/>
      <c r="X27" s="248"/>
      <c r="Y27" s="376" t="s">
        <v>18</v>
      </c>
      <c r="Z27" s="246" t="s">
        <v>18</v>
      </c>
      <c r="AA27" s="108"/>
      <c r="AB27" s="108"/>
      <c r="AC27" s="246"/>
      <c r="AD27" s="246"/>
      <c r="AE27" s="252" t="s">
        <v>18</v>
      </c>
      <c r="AF27" s="556">
        <f t="shared" si="1"/>
        <v>0</v>
      </c>
      <c r="AG27" s="573"/>
    </row>
    <row r="28" spans="1:101" ht="34.15" customHeight="1" thickBot="1">
      <c r="A28" s="146" t="s">
        <v>33</v>
      </c>
      <c r="B28" s="246">
        <v>15</v>
      </c>
      <c r="C28" s="246">
        <v>0.5</v>
      </c>
      <c r="D28" s="246"/>
      <c r="E28" s="248"/>
      <c r="F28" s="108"/>
      <c r="G28" s="108">
        <v>15</v>
      </c>
      <c r="H28" s="246">
        <v>15</v>
      </c>
      <c r="I28" s="246">
        <v>0.5</v>
      </c>
      <c r="J28" s="246"/>
      <c r="K28" s="376">
        <v>4</v>
      </c>
      <c r="L28" s="246"/>
      <c r="M28" s="109">
        <v>15</v>
      </c>
      <c r="N28" s="108">
        <v>15</v>
      </c>
      <c r="O28" s="246">
        <v>0.5</v>
      </c>
      <c r="P28" s="246"/>
      <c r="Q28" s="246"/>
      <c r="R28" s="246"/>
      <c r="S28" s="246">
        <v>15</v>
      </c>
      <c r="T28" s="108">
        <v>15</v>
      </c>
      <c r="U28" s="108">
        <v>0.5</v>
      </c>
      <c r="V28" s="246"/>
      <c r="W28" s="248"/>
      <c r="X28" s="246"/>
      <c r="Y28" s="376">
        <v>15</v>
      </c>
      <c r="Z28" s="246">
        <v>15</v>
      </c>
      <c r="AA28" s="108">
        <v>0.5</v>
      </c>
      <c r="AB28" s="108"/>
      <c r="AC28" s="224"/>
      <c r="AD28" s="246"/>
      <c r="AE28" s="252">
        <v>15</v>
      </c>
      <c r="AF28" s="557">
        <f t="shared" si="1"/>
        <v>156.5</v>
      </c>
      <c r="AG28" s="570">
        <f>SUM(AF28-AF67)</f>
        <v>-3.5</v>
      </c>
      <c r="AH28" s="2"/>
    </row>
    <row r="29" spans="1:101" ht="37.15" thickBot="1">
      <c r="A29" s="188" t="s">
        <v>34</v>
      </c>
      <c r="B29" s="232">
        <v>1</v>
      </c>
      <c r="C29" s="232"/>
      <c r="D29" s="232"/>
      <c r="E29" s="305"/>
      <c r="F29" s="177"/>
      <c r="G29" s="177">
        <v>1</v>
      </c>
      <c r="H29" s="232">
        <v>1</v>
      </c>
      <c r="I29" s="232"/>
      <c r="J29" s="232"/>
      <c r="K29" s="398"/>
      <c r="L29" s="305"/>
      <c r="M29" s="179">
        <v>1</v>
      </c>
      <c r="N29" s="137">
        <v>1</v>
      </c>
      <c r="O29" s="232"/>
      <c r="P29" s="232"/>
      <c r="Q29" s="304"/>
      <c r="R29" s="304"/>
      <c r="S29" s="304">
        <v>1</v>
      </c>
      <c r="T29" s="137">
        <v>1</v>
      </c>
      <c r="U29" s="137"/>
      <c r="V29" s="232"/>
      <c r="W29" s="304"/>
      <c r="X29" s="304"/>
      <c r="Y29" s="398">
        <v>1</v>
      </c>
      <c r="Z29" s="232">
        <v>1</v>
      </c>
      <c r="AA29" s="137"/>
      <c r="AB29" s="137"/>
      <c r="AC29" s="304"/>
      <c r="AD29" s="304"/>
      <c r="AE29" s="306">
        <v>1</v>
      </c>
      <c r="AF29" s="558">
        <f t="shared" si="1"/>
        <v>10</v>
      </c>
      <c r="AG29" s="571"/>
      <c r="AH29" s="100"/>
    </row>
    <row r="30" spans="1:101" ht="34.15" customHeight="1" thickBot="1">
      <c r="A30" s="173" t="s">
        <v>74</v>
      </c>
      <c r="B30" s="218"/>
      <c r="C30" s="219"/>
      <c r="D30" s="219"/>
      <c r="E30" s="219" t="s">
        <v>18</v>
      </c>
      <c r="F30" s="114" t="s">
        <v>18</v>
      </c>
      <c r="G30" s="114"/>
      <c r="H30" s="219"/>
      <c r="I30" s="219"/>
      <c r="J30" s="219"/>
      <c r="K30" s="371" t="s">
        <v>18</v>
      </c>
      <c r="L30" s="219" t="s">
        <v>18</v>
      </c>
      <c r="M30" s="123"/>
      <c r="N30" s="114"/>
      <c r="O30" s="219"/>
      <c r="P30" s="219"/>
      <c r="Q30" s="219" t="s">
        <v>18</v>
      </c>
      <c r="R30" s="219" t="s">
        <v>18</v>
      </c>
      <c r="S30" s="220"/>
      <c r="T30" s="114"/>
      <c r="U30" s="105"/>
      <c r="V30" s="219"/>
      <c r="W30" s="219" t="s">
        <v>18</v>
      </c>
      <c r="X30" s="219" t="s">
        <v>18</v>
      </c>
      <c r="Y30" s="371"/>
      <c r="Z30" s="220"/>
      <c r="AA30" s="123"/>
      <c r="AB30" s="114"/>
      <c r="AC30" s="219" t="s">
        <v>18</v>
      </c>
      <c r="AD30" s="219" t="s">
        <v>18</v>
      </c>
      <c r="AE30" s="221"/>
      <c r="AF30" s="556">
        <f t="shared" si="1"/>
        <v>0</v>
      </c>
      <c r="AG30" s="483"/>
    </row>
    <row r="31" spans="1:101" ht="28.9" thickBot="1">
      <c r="A31" s="146" t="s">
        <v>36</v>
      </c>
      <c r="B31" s="223"/>
      <c r="C31" s="224"/>
      <c r="D31" s="224"/>
      <c r="E31" s="224">
        <v>15</v>
      </c>
      <c r="F31" s="103">
        <v>15</v>
      </c>
      <c r="G31" s="108">
        <v>0.5</v>
      </c>
      <c r="H31" s="224"/>
      <c r="I31" s="224"/>
      <c r="J31" s="224"/>
      <c r="K31" s="372">
        <v>15</v>
      </c>
      <c r="L31" s="224">
        <v>15</v>
      </c>
      <c r="M31" s="108">
        <v>0.5</v>
      </c>
      <c r="N31" s="103"/>
      <c r="O31" s="224"/>
      <c r="P31" s="224"/>
      <c r="Q31" s="224">
        <v>15</v>
      </c>
      <c r="R31" s="224">
        <v>15</v>
      </c>
      <c r="S31" s="246">
        <v>0.5</v>
      </c>
      <c r="T31" s="103"/>
      <c r="U31" s="103"/>
      <c r="V31" s="224"/>
      <c r="W31" s="224">
        <v>15</v>
      </c>
      <c r="X31" s="224">
        <v>15</v>
      </c>
      <c r="Y31" s="376">
        <v>4.5</v>
      </c>
      <c r="Z31" s="224"/>
      <c r="AA31" s="103"/>
      <c r="AB31" s="103"/>
      <c r="AC31" s="224">
        <v>15</v>
      </c>
      <c r="AD31" s="224">
        <v>15</v>
      </c>
      <c r="AE31" s="246">
        <v>0.5</v>
      </c>
      <c r="AF31" s="557">
        <f t="shared" si="1"/>
        <v>156.5</v>
      </c>
      <c r="AG31" s="574">
        <f>SUM(AF31-AF67)</f>
        <v>-3.5</v>
      </c>
    </row>
    <row r="32" spans="1:101" ht="30" customHeight="1" thickBot="1">
      <c r="A32" s="187" t="s">
        <v>34</v>
      </c>
      <c r="B32" s="226"/>
      <c r="C32" s="227"/>
      <c r="D32" s="227"/>
      <c r="E32" s="228">
        <v>1</v>
      </c>
      <c r="F32" s="133">
        <v>1</v>
      </c>
      <c r="G32" s="133"/>
      <c r="H32" s="227"/>
      <c r="I32" s="227"/>
      <c r="J32" s="227"/>
      <c r="K32" s="380">
        <v>1</v>
      </c>
      <c r="L32" s="227">
        <v>1</v>
      </c>
      <c r="M32" s="134"/>
      <c r="N32" s="133"/>
      <c r="O32" s="229"/>
      <c r="P32" s="227"/>
      <c r="Q32" s="229">
        <v>1</v>
      </c>
      <c r="R32" s="227">
        <v>1</v>
      </c>
      <c r="S32" s="227"/>
      <c r="T32" s="134"/>
      <c r="U32" s="133"/>
      <c r="V32" s="229"/>
      <c r="W32" s="227">
        <v>1</v>
      </c>
      <c r="X32" s="227">
        <v>1</v>
      </c>
      <c r="Y32" s="373"/>
      <c r="Z32" s="230"/>
      <c r="AA32" s="136"/>
      <c r="AB32" s="133"/>
      <c r="AC32" s="229">
        <v>1</v>
      </c>
      <c r="AD32" s="227">
        <v>1</v>
      </c>
      <c r="AE32" s="605"/>
      <c r="AF32" s="558">
        <f t="shared" si="1"/>
        <v>10</v>
      </c>
      <c r="AG32" s="481"/>
      <c r="AH32" s="2"/>
    </row>
    <row r="33" spans="1:59" ht="31.9" customHeight="1" thickBot="1">
      <c r="A33" s="173" t="s">
        <v>37</v>
      </c>
      <c r="B33" s="255"/>
      <c r="C33" s="246"/>
      <c r="D33" s="246"/>
      <c r="E33" s="246"/>
      <c r="F33" s="108"/>
      <c r="G33" s="108"/>
      <c r="H33" s="246"/>
      <c r="I33" s="246"/>
      <c r="J33" s="246"/>
      <c r="K33" s="246"/>
      <c r="L33" s="248"/>
      <c r="M33" s="109"/>
      <c r="N33" s="108"/>
      <c r="O33" s="246"/>
      <c r="P33" s="246"/>
      <c r="Q33" s="252"/>
      <c r="R33" s="246"/>
      <c r="S33" s="246"/>
      <c r="T33" s="113"/>
      <c r="U33" s="108"/>
      <c r="V33" s="247"/>
      <c r="W33" s="246"/>
      <c r="X33" s="252"/>
      <c r="Y33" s="246"/>
      <c r="Z33" s="246"/>
      <c r="AA33" s="113"/>
      <c r="AB33" s="108"/>
      <c r="AC33" s="252"/>
      <c r="AD33" s="246"/>
      <c r="AE33" s="252"/>
      <c r="AF33" s="556">
        <f t="shared" si="1"/>
        <v>0</v>
      </c>
      <c r="AG33" s="477"/>
      <c r="AH33" s="2"/>
    </row>
    <row r="34" spans="1:59" ht="34.15" customHeight="1" thickBot="1">
      <c r="A34" s="146" t="s">
        <v>38</v>
      </c>
      <c r="B34" s="255"/>
      <c r="C34" s="246"/>
      <c r="D34" s="246"/>
      <c r="E34" s="246"/>
      <c r="F34" s="108"/>
      <c r="G34" s="108"/>
      <c r="H34" s="246"/>
      <c r="I34" s="246"/>
      <c r="J34" s="246"/>
      <c r="K34" s="246"/>
      <c r="L34" s="248"/>
      <c r="M34" s="109"/>
      <c r="N34" s="108"/>
      <c r="O34" s="246"/>
      <c r="P34" s="246"/>
      <c r="Q34" s="252"/>
      <c r="R34" s="246"/>
      <c r="S34" s="246"/>
      <c r="T34" s="113"/>
      <c r="U34" s="108"/>
      <c r="V34" s="247"/>
      <c r="W34" s="246"/>
      <c r="X34" s="252"/>
      <c r="Y34" s="246"/>
      <c r="Z34" s="246"/>
      <c r="AA34" s="113"/>
      <c r="AB34" s="108"/>
      <c r="AC34" s="252"/>
      <c r="AD34" s="246"/>
      <c r="AE34" s="252"/>
      <c r="AF34" s="557">
        <f t="shared" si="1"/>
        <v>0</v>
      </c>
      <c r="AG34" s="484"/>
      <c r="AH34" s="2"/>
    </row>
    <row r="35" spans="1:59" ht="31.9" customHeight="1" thickBot="1">
      <c r="A35" s="187" t="s">
        <v>39</v>
      </c>
      <c r="B35" s="226"/>
      <c r="C35" s="227"/>
      <c r="D35" s="227"/>
      <c r="E35" s="227"/>
      <c r="F35" s="133"/>
      <c r="G35" s="133"/>
      <c r="H35" s="227"/>
      <c r="I35" s="227"/>
      <c r="J35" s="227"/>
      <c r="K35" s="227"/>
      <c r="L35" s="228"/>
      <c r="M35" s="136"/>
      <c r="N35" s="133"/>
      <c r="O35" s="227"/>
      <c r="P35" s="227"/>
      <c r="Q35" s="229"/>
      <c r="R35" s="227"/>
      <c r="S35" s="227"/>
      <c r="T35" s="134"/>
      <c r="U35" s="133"/>
      <c r="V35" s="230"/>
      <c r="W35" s="227"/>
      <c r="X35" s="229"/>
      <c r="Y35" s="227"/>
      <c r="Z35" s="227"/>
      <c r="AA35" s="134"/>
      <c r="AB35" s="133"/>
      <c r="AC35" s="229"/>
      <c r="AD35" s="227"/>
      <c r="AE35" s="229"/>
      <c r="AF35" s="558">
        <f t="shared" si="1"/>
        <v>0</v>
      </c>
      <c r="AG35" s="478"/>
      <c r="AH35" s="2"/>
    </row>
    <row r="36" spans="1:59" ht="28.9" thickBot="1">
      <c r="A36" s="465"/>
      <c r="B36" s="255"/>
      <c r="C36" s="246"/>
      <c r="D36" s="246"/>
      <c r="E36" s="246"/>
      <c r="F36" s="108"/>
      <c r="G36" s="108"/>
      <c r="H36" s="246"/>
      <c r="I36" s="246"/>
      <c r="J36" s="246"/>
      <c r="K36" s="246"/>
      <c r="L36" s="248"/>
      <c r="M36" s="109"/>
      <c r="N36" s="108"/>
      <c r="O36" s="246"/>
      <c r="P36" s="246"/>
      <c r="Q36" s="252"/>
      <c r="R36" s="246"/>
      <c r="S36" s="246"/>
      <c r="T36" s="113"/>
      <c r="U36" s="108"/>
      <c r="V36" s="247"/>
      <c r="W36" s="246"/>
      <c r="X36" s="252"/>
      <c r="Y36" s="246"/>
      <c r="Z36" s="246"/>
      <c r="AA36" s="113"/>
      <c r="AB36" s="108"/>
      <c r="AC36" s="252"/>
      <c r="AD36" s="246"/>
      <c r="AE36" s="252"/>
      <c r="AF36" s="556">
        <f>SUM(B36:AE36)</f>
        <v>0</v>
      </c>
      <c r="AG36" s="477"/>
    </row>
    <row r="37" spans="1:59" ht="39" thickBot="1">
      <c r="A37" s="146"/>
      <c r="B37" s="255"/>
      <c r="C37" s="246"/>
      <c r="D37" s="246"/>
      <c r="E37" s="246"/>
      <c r="F37" s="108"/>
      <c r="G37" s="108"/>
      <c r="H37" s="246"/>
      <c r="I37" s="246"/>
      <c r="J37" s="246"/>
      <c r="K37" s="246"/>
      <c r="L37" s="248"/>
      <c r="M37" s="109"/>
      <c r="N37" s="108"/>
      <c r="O37" s="246"/>
      <c r="P37" s="246"/>
      <c r="Q37" s="252"/>
      <c r="R37" s="246"/>
      <c r="S37" s="246"/>
      <c r="T37" s="113"/>
      <c r="U37" s="108"/>
      <c r="V37" s="247"/>
      <c r="W37" s="246"/>
      <c r="X37" s="252"/>
      <c r="Y37" s="246"/>
      <c r="Z37" s="246"/>
      <c r="AA37" s="113"/>
      <c r="AB37" s="108"/>
      <c r="AC37" s="252"/>
      <c r="AD37" s="246"/>
      <c r="AE37" s="252"/>
      <c r="AF37" s="557">
        <f t="shared" ref="AF37" si="2">SUM(B37:AE37)</f>
        <v>0</v>
      </c>
      <c r="AG37" s="484"/>
      <c r="AH37" s="2"/>
    </row>
    <row r="38" spans="1:59" ht="34.15" customHeight="1" thickBot="1">
      <c r="A38" s="188"/>
      <c r="B38" s="259"/>
      <c r="C38" s="232"/>
      <c r="D38" s="232"/>
      <c r="E38" s="232"/>
      <c r="F38" s="137"/>
      <c r="G38" s="137"/>
      <c r="H38" s="232"/>
      <c r="I38" s="232"/>
      <c r="J38" s="232"/>
      <c r="K38" s="232"/>
      <c r="L38" s="260"/>
      <c r="M38" s="138"/>
      <c r="N38" s="137"/>
      <c r="O38" s="232"/>
      <c r="P38" s="232"/>
      <c r="Q38" s="233"/>
      <c r="R38" s="232"/>
      <c r="S38" s="232"/>
      <c r="T38" s="139"/>
      <c r="U38" s="137"/>
      <c r="V38" s="231"/>
      <c r="W38" s="232"/>
      <c r="X38" s="233"/>
      <c r="Y38" s="232"/>
      <c r="Z38" s="232"/>
      <c r="AA38" s="139"/>
      <c r="AB38" s="137"/>
      <c r="AC38" s="233"/>
      <c r="AD38" s="232"/>
      <c r="AE38" s="233"/>
      <c r="AF38" s="558">
        <f>SUM(B38:AE38)</f>
        <v>0</v>
      </c>
      <c r="AG38" s="478"/>
    </row>
    <row r="39" spans="1:59" ht="29.45" thickBot="1">
      <c r="A39" s="173"/>
      <c r="B39" s="266"/>
      <c r="C39" s="222"/>
      <c r="D39" s="222"/>
      <c r="E39" s="222"/>
      <c r="F39" s="105"/>
      <c r="G39" s="105"/>
      <c r="H39" s="222"/>
      <c r="I39" s="222"/>
      <c r="J39" s="222"/>
      <c r="K39" s="222"/>
      <c r="L39" s="253"/>
      <c r="M39" s="106"/>
      <c r="N39" s="105"/>
      <c r="O39" s="222"/>
      <c r="P39" s="222"/>
      <c r="Q39" s="254"/>
      <c r="R39" s="222"/>
      <c r="S39" s="222"/>
      <c r="T39" s="112"/>
      <c r="U39" s="105"/>
      <c r="V39" s="256"/>
      <c r="W39" s="222"/>
      <c r="X39" s="254"/>
      <c r="Y39" s="222"/>
      <c r="Z39" s="222"/>
      <c r="AA39" s="112"/>
      <c r="AB39" s="105"/>
      <c r="AC39" s="254"/>
      <c r="AD39" s="222"/>
      <c r="AE39" s="254"/>
      <c r="AF39" s="556">
        <f>SUM(B39:AE39)</f>
        <v>0</v>
      </c>
      <c r="AG39" s="6"/>
    </row>
    <row r="40" spans="1:59" ht="28.9" thickBot="1">
      <c r="A40" s="146"/>
      <c r="B40" s="255"/>
      <c r="C40" s="246"/>
      <c r="D40" s="246"/>
      <c r="E40" s="246"/>
      <c r="F40" s="108"/>
      <c r="G40" s="108"/>
      <c r="H40" s="246"/>
      <c r="I40" s="246"/>
      <c r="J40" s="246"/>
      <c r="K40" s="246"/>
      <c r="L40" s="248"/>
      <c r="M40" s="109"/>
      <c r="N40" s="108"/>
      <c r="O40" s="246"/>
      <c r="P40" s="246"/>
      <c r="Q40" s="252"/>
      <c r="R40" s="246"/>
      <c r="S40" s="246"/>
      <c r="T40" s="113"/>
      <c r="U40" s="108"/>
      <c r="V40" s="246"/>
      <c r="W40" s="246"/>
      <c r="X40" s="252"/>
      <c r="Y40" s="246"/>
      <c r="Z40" s="246"/>
      <c r="AA40" s="108"/>
      <c r="AB40" s="108"/>
      <c r="AC40" s="252"/>
      <c r="AD40" s="246"/>
      <c r="AE40" s="252"/>
      <c r="AF40" s="557">
        <f t="shared" ref="AF40" si="3">SUM(B40:AE40)</f>
        <v>0</v>
      </c>
      <c r="AG40" s="101"/>
    </row>
    <row r="41" spans="1:59" ht="28.9" thickBot="1">
      <c r="A41" s="190"/>
      <c r="B41" s="226"/>
      <c r="C41" s="227"/>
      <c r="D41" s="227"/>
      <c r="E41" s="227"/>
      <c r="F41" s="133"/>
      <c r="G41" s="133"/>
      <c r="H41" s="227"/>
      <c r="I41" s="227"/>
      <c r="J41" s="227"/>
      <c r="K41" s="227"/>
      <c r="L41" s="228"/>
      <c r="M41" s="136"/>
      <c r="N41" s="133"/>
      <c r="O41" s="227"/>
      <c r="P41" s="227"/>
      <c r="Q41" s="229"/>
      <c r="R41" s="227"/>
      <c r="S41" s="227"/>
      <c r="T41" s="134"/>
      <c r="U41" s="133"/>
      <c r="V41" s="230"/>
      <c r="W41" s="227"/>
      <c r="X41" s="229"/>
      <c r="Y41" s="227"/>
      <c r="Z41" s="227"/>
      <c r="AA41" s="134"/>
      <c r="AB41" s="133"/>
      <c r="AC41" s="229"/>
      <c r="AD41" s="227"/>
      <c r="AE41" s="229"/>
      <c r="AF41" s="558">
        <f>SUM(B41:AE41)</f>
        <v>0</v>
      </c>
    </row>
    <row r="42" spans="1:59" ht="28.9" thickBot="1">
      <c r="A42" s="146"/>
      <c r="B42" s="255"/>
      <c r="C42" s="246"/>
      <c r="D42" s="246"/>
      <c r="E42" s="246"/>
      <c r="F42" s="108"/>
      <c r="G42" s="108"/>
      <c r="H42" s="246"/>
      <c r="I42" s="246"/>
      <c r="J42" s="246"/>
      <c r="K42" s="246"/>
      <c r="L42" s="248"/>
      <c r="M42" s="109"/>
      <c r="N42" s="108"/>
      <c r="O42" s="246"/>
      <c r="P42" s="246"/>
      <c r="Q42" s="252"/>
      <c r="R42" s="246"/>
      <c r="S42" s="246"/>
      <c r="T42" s="113"/>
      <c r="U42" s="108"/>
      <c r="V42" s="247"/>
      <c r="W42" s="246"/>
      <c r="X42" s="252"/>
      <c r="Y42" s="246"/>
      <c r="Z42" s="246"/>
      <c r="AA42" s="113"/>
      <c r="AB42" s="108"/>
      <c r="AC42" s="252"/>
      <c r="AD42" s="246"/>
      <c r="AE42" s="252"/>
      <c r="AF42" s="556">
        <f>SUM(B42:AE42)</f>
        <v>0</v>
      </c>
    </row>
    <row r="43" spans="1:59" ht="29.45" thickBot="1">
      <c r="A43" s="146"/>
      <c r="B43" s="255"/>
      <c r="C43" s="246"/>
      <c r="D43" s="246"/>
      <c r="E43" s="246"/>
      <c r="F43" s="108"/>
      <c r="G43" s="108"/>
      <c r="H43" s="246"/>
      <c r="I43" s="246"/>
      <c r="J43" s="246"/>
      <c r="K43" s="246"/>
      <c r="L43" s="248"/>
      <c r="M43" s="109"/>
      <c r="N43" s="108"/>
      <c r="O43" s="246"/>
      <c r="P43" s="246"/>
      <c r="Q43" s="252"/>
      <c r="R43" s="246"/>
      <c r="S43" s="246"/>
      <c r="T43" s="113"/>
      <c r="U43" s="108"/>
      <c r="V43" s="247"/>
      <c r="W43" s="246"/>
      <c r="X43" s="252"/>
      <c r="Y43" s="246"/>
      <c r="Z43" s="246"/>
      <c r="AA43" s="113"/>
      <c r="AB43" s="108"/>
      <c r="AC43" s="252"/>
      <c r="AD43" s="246"/>
      <c r="AE43" s="252"/>
      <c r="AF43" s="557">
        <f t="shared" ref="AF43" si="4">SUM(B43:AE43)</f>
        <v>0</v>
      </c>
      <c r="AX43" s="7"/>
      <c r="AY43" s="7"/>
      <c r="AZ43" s="7"/>
      <c r="BA43" s="7"/>
      <c r="BB43" s="151"/>
      <c r="BC43" s="7"/>
      <c r="BD43" s="7"/>
      <c r="BE43" s="7"/>
      <c r="BF43" s="36"/>
      <c r="BG43" s="6"/>
    </row>
    <row r="44" spans="1:59" ht="28.9" customHeight="1" thickBot="1">
      <c r="A44" s="189"/>
      <c r="B44" s="259"/>
      <c r="C44" s="232"/>
      <c r="D44" s="232"/>
      <c r="E44" s="232"/>
      <c r="F44" s="137"/>
      <c r="G44" s="137"/>
      <c r="H44" s="232"/>
      <c r="I44" s="232"/>
      <c r="J44" s="232"/>
      <c r="K44" s="232"/>
      <c r="L44" s="260"/>
      <c r="M44" s="138"/>
      <c r="N44" s="137"/>
      <c r="O44" s="232"/>
      <c r="P44" s="232"/>
      <c r="Q44" s="233"/>
      <c r="R44" s="232"/>
      <c r="S44" s="232"/>
      <c r="T44" s="139"/>
      <c r="U44" s="137"/>
      <c r="V44" s="231"/>
      <c r="W44" s="232"/>
      <c r="X44" s="233"/>
      <c r="Y44" s="232"/>
      <c r="Z44" s="232"/>
      <c r="AA44" s="139"/>
      <c r="AB44" s="137"/>
      <c r="AC44" s="233"/>
      <c r="AD44" s="232"/>
      <c r="AE44" s="233"/>
      <c r="AF44" s="558">
        <f>SUM(B44:AE44)</f>
        <v>0</v>
      </c>
      <c r="AX44" s="151"/>
      <c r="AY44" s="151"/>
      <c r="AZ44" s="151"/>
      <c r="BA44" s="151"/>
      <c r="BB44" s="151"/>
      <c r="BC44" s="151"/>
      <c r="BD44" s="151"/>
      <c r="BE44" s="151"/>
      <c r="BF44" s="153"/>
      <c r="BG44" s="131"/>
    </row>
    <row r="45" spans="1:59" ht="29.45" thickBot="1">
      <c r="A45" s="173"/>
      <c r="B45" s="266"/>
      <c r="C45" s="222"/>
      <c r="D45" s="222"/>
      <c r="E45" s="222"/>
      <c r="F45" s="105"/>
      <c r="G45" s="105"/>
      <c r="H45" s="222"/>
      <c r="I45" s="222"/>
      <c r="J45" s="222"/>
      <c r="K45" s="222"/>
      <c r="L45" s="253"/>
      <c r="M45" s="106"/>
      <c r="N45" s="105"/>
      <c r="O45" s="222"/>
      <c r="P45" s="222"/>
      <c r="Q45" s="254"/>
      <c r="R45" s="222"/>
      <c r="S45" s="222"/>
      <c r="T45" s="112"/>
      <c r="U45" s="105"/>
      <c r="V45" s="256"/>
      <c r="W45" s="222"/>
      <c r="X45" s="254"/>
      <c r="Y45" s="222"/>
      <c r="Z45" s="222"/>
      <c r="AA45" s="112"/>
      <c r="AB45" s="105"/>
      <c r="AC45" s="254"/>
      <c r="AD45" s="222"/>
      <c r="AE45" s="254"/>
      <c r="AF45" s="556">
        <f>SUM(B45:AE45)</f>
        <v>0</v>
      </c>
      <c r="AX45" s="154"/>
      <c r="AY45" s="151"/>
      <c r="AZ45" s="151"/>
      <c r="BA45" s="151"/>
      <c r="BB45" s="151"/>
      <c r="BC45" s="151"/>
      <c r="BD45" s="151"/>
      <c r="BE45" s="151"/>
      <c r="BF45" s="153"/>
      <c r="BG45" s="131"/>
    </row>
    <row r="46" spans="1:59" ht="29.45" thickBot="1">
      <c r="A46" s="146"/>
      <c r="B46" s="255"/>
      <c r="C46" s="246"/>
      <c r="D46" s="246"/>
      <c r="E46" s="246"/>
      <c r="F46" s="108"/>
      <c r="G46" s="108"/>
      <c r="H46" s="246"/>
      <c r="I46" s="246"/>
      <c r="J46" s="246"/>
      <c r="K46" s="246"/>
      <c r="L46" s="248"/>
      <c r="M46" s="109"/>
      <c r="N46" s="108"/>
      <c r="O46" s="246"/>
      <c r="P46" s="246"/>
      <c r="Q46" s="252"/>
      <c r="R46" s="246"/>
      <c r="S46" s="246"/>
      <c r="T46" s="113"/>
      <c r="U46" s="108"/>
      <c r="V46" s="246"/>
      <c r="W46" s="246"/>
      <c r="X46" s="252"/>
      <c r="Y46" s="246"/>
      <c r="Z46" s="246"/>
      <c r="AA46" s="108"/>
      <c r="AB46" s="108"/>
      <c r="AC46" s="252"/>
      <c r="AD46" s="246"/>
      <c r="AE46" s="252"/>
      <c r="AF46" s="557">
        <f t="shared" ref="AF46" si="5">SUM(B46:AE46)</f>
        <v>0</v>
      </c>
      <c r="AX46" s="153"/>
      <c r="AY46" s="131"/>
      <c r="AZ46" s="153"/>
      <c r="BA46" s="131"/>
      <c r="BB46" s="131"/>
      <c r="BC46" s="131"/>
      <c r="BD46" s="131"/>
      <c r="BE46" s="131"/>
      <c r="BF46" s="131"/>
      <c r="BG46" s="153"/>
    </row>
    <row r="47" spans="1:59" ht="29.45" thickBot="1">
      <c r="A47" s="190"/>
      <c r="B47" s="226"/>
      <c r="C47" s="227"/>
      <c r="D47" s="227"/>
      <c r="E47" s="227"/>
      <c r="F47" s="133"/>
      <c r="G47" s="133"/>
      <c r="H47" s="227"/>
      <c r="I47" s="227"/>
      <c r="J47" s="227"/>
      <c r="K47" s="227"/>
      <c r="L47" s="228"/>
      <c r="M47" s="136"/>
      <c r="N47" s="133"/>
      <c r="O47" s="227"/>
      <c r="P47" s="227"/>
      <c r="Q47" s="229"/>
      <c r="R47" s="227"/>
      <c r="S47" s="227"/>
      <c r="T47" s="134"/>
      <c r="U47" s="133"/>
      <c r="V47" s="230"/>
      <c r="W47" s="227"/>
      <c r="X47" s="229"/>
      <c r="Y47" s="227"/>
      <c r="Z47" s="227"/>
      <c r="AA47" s="134"/>
      <c r="AB47" s="133"/>
      <c r="AC47" s="229"/>
      <c r="AD47" s="227"/>
      <c r="AE47" s="229"/>
      <c r="AF47" s="558">
        <f>SUM(B47:AE47)</f>
        <v>0</v>
      </c>
      <c r="AX47" s="153"/>
      <c r="AY47" s="131"/>
      <c r="AZ47" s="153"/>
      <c r="BA47" s="131"/>
      <c r="BB47" s="131"/>
      <c r="BC47" s="131"/>
      <c r="BD47" s="131"/>
      <c r="BE47" s="131"/>
      <c r="BF47" s="131"/>
      <c r="BG47" s="153"/>
    </row>
    <row r="48" spans="1:59" ht="29.45" hidden="1" thickBot="1">
      <c r="A48" s="146"/>
      <c r="B48" s="255"/>
      <c r="C48" s="246"/>
      <c r="D48" s="246"/>
      <c r="E48" s="246"/>
      <c r="F48" s="108"/>
      <c r="G48" s="108"/>
      <c r="H48" s="246"/>
      <c r="I48" s="246"/>
      <c r="J48" s="246"/>
      <c r="K48" s="246"/>
      <c r="L48" s="248"/>
      <c r="M48" s="109"/>
      <c r="N48" s="108"/>
      <c r="O48" s="246"/>
      <c r="P48" s="246"/>
      <c r="Q48" s="252"/>
      <c r="R48" s="246"/>
      <c r="S48" s="246"/>
      <c r="T48" s="113"/>
      <c r="U48" s="108"/>
      <c r="V48" s="247"/>
      <c r="W48" s="246"/>
      <c r="X48" s="252"/>
      <c r="Y48" s="246"/>
      <c r="Z48" s="246"/>
      <c r="AA48" s="113"/>
      <c r="AB48" s="108"/>
      <c r="AC48" s="252"/>
      <c r="AD48" s="246"/>
      <c r="AE48" s="252"/>
      <c r="AF48" s="556">
        <f>SUM(B48:AE48)</f>
        <v>0</v>
      </c>
      <c r="AX48" s="153"/>
      <c r="AY48" s="131"/>
      <c r="AZ48" s="153"/>
      <c r="BA48" s="131"/>
      <c r="BB48" s="131"/>
      <c r="BC48" s="131"/>
      <c r="BD48" s="131"/>
      <c r="BE48" s="131"/>
      <c r="BF48" s="153"/>
      <c r="BG48" s="131"/>
    </row>
    <row r="49" spans="1:59" ht="29.45" hidden="1" thickBot="1">
      <c r="A49" s="146"/>
      <c r="B49" s="255"/>
      <c r="C49" s="246"/>
      <c r="D49" s="246"/>
      <c r="E49" s="246"/>
      <c r="F49" s="108"/>
      <c r="G49" s="108"/>
      <c r="H49" s="246"/>
      <c r="I49" s="246"/>
      <c r="J49" s="246"/>
      <c r="K49" s="246"/>
      <c r="L49" s="248"/>
      <c r="M49" s="109"/>
      <c r="N49" s="108"/>
      <c r="O49" s="246"/>
      <c r="P49" s="246"/>
      <c r="Q49" s="252"/>
      <c r="R49" s="246"/>
      <c r="S49" s="246"/>
      <c r="T49" s="113"/>
      <c r="U49" s="108"/>
      <c r="V49" s="247"/>
      <c r="W49" s="246"/>
      <c r="X49" s="252"/>
      <c r="Y49" s="246"/>
      <c r="Z49" s="246"/>
      <c r="AA49" s="113"/>
      <c r="AB49" s="108"/>
      <c r="AC49" s="252"/>
      <c r="AD49" s="246"/>
      <c r="AE49" s="252"/>
      <c r="AF49" s="557">
        <f t="shared" ref="AF49" si="6">SUM(B49:AE49)</f>
        <v>0</v>
      </c>
      <c r="AX49" s="153"/>
      <c r="AY49" s="131"/>
      <c r="AZ49" s="153"/>
      <c r="BA49" s="131"/>
      <c r="BB49" s="131"/>
      <c r="BC49" s="131"/>
      <c r="BD49" s="131"/>
      <c r="BE49" s="131"/>
      <c r="BF49" s="131"/>
      <c r="BG49" s="131"/>
    </row>
    <row r="50" spans="1:59" ht="29.45" hidden="1" thickBot="1">
      <c r="A50" s="189"/>
      <c r="B50" s="259"/>
      <c r="C50" s="232"/>
      <c r="D50" s="232"/>
      <c r="E50" s="232"/>
      <c r="F50" s="137"/>
      <c r="G50" s="137"/>
      <c r="H50" s="232"/>
      <c r="I50" s="232"/>
      <c r="J50" s="232"/>
      <c r="K50" s="232"/>
      <c r="L50" s="260"/>
      <c r="M50" s="138"/>
      <c r="N50" s="137"/>
      <c r="O50" s="232"/>
      <c r="P50" s="232"/>
      <c r="Q50" s="233"/>
      <c r="R50" s="232"/>
      <c r="S50" s="232"/>
      <c r="T50" s="139"/>
      <c r="U50" s="137"/>
      <c r="V50" s="231"/>
      <c r="W50" s="232"/>
      <c r="X50" s="233"/>
      <c r="Y50" s="232"/>
      <c r="Z50" s="232"/>
      <c r="AA50" s="139"/>
      <c r="AB50" s="137"/>
      <c r="AC50" s="233"/>
      <c r="AD50" s="232"/>
      <c r="AE50" s="233"/>
      <c r="AF50" s="558">
        <f>SUM(B50:AE50)</f>
        <v>0</v>
      </c>
      <c r="AX50" s="153"/>
      <c r="AY50" s="131"/>
      <c r="AZ50" s="153"/>
      <c r="BA50" s="131"/>
      <c r="BB50" s="131"/>
      <c r="BC50" s="131"/>
      <c r="BD50" s="131"/>
      <c r="BE50" s="131"/>
      <c r="BF50" s="131"/>
      <c r="BG50" s="131"/>
    </row>
    <row r="51" spans="1:59" ht="29.45" hidden="1" thickBot="1">
      <c r="A51" s="173"/>
      <c r="B51" s="266"/>
      <c r="C51" s="222"/>
      <c r="D51" s="222"/>
      <c r="E51" s="222"/>
      <c r="F51" s="105"/>
      <c r="G51" s="105"/>
      <c r="H51" s="222"/>
      <c r="I51" s="222"/>
      <c r="J51" s="222"/>
      <c r="K51" s="222"/>
      <c r="L51" s="253"/>
      <c r="M51" s="106"/>
      <c r="N51" s="105"/>
      <c r="O51" s="222"/>
      <c r="P51" s="222"/>
      <c r="Q51" s="254"/>
      <c r="R51" s="222"/>
      <c r="S51" s="222"/>
      <c r="T51" s="112"/>
      <c r="U51" s="105"/>
      <c r="V51" s="256"/>
      <c r="W51" s="222"/>
      <c r="X51" s="254"/>
      <c r="Y51" s="222"/>
      <c r="Z51" s="222"/>
      <c r="AA51" s="112"/>
      <c r="AB51" s="105"/>
      <c r="AC51" s="254"/>
      <c r="AD51" s="222"/>
      <c r="AE51" s="254"/>
      <c r="AF51" s="556">
        <f>SUM(B51:AE51)</f>
        <v>0</v>
      </c>
      <c r="AX51" s="153"/>
      <c r="AY51" s="131"/>
      <c r="AZ51" s="153"/>
      <c r="BA51" s="131"/>
      <c r="BB51" s="131"/>
      <c r="BC51" s="131"/>
      <c r="BD51" s="131"/>
      <c r="BE51" s="131"/>
      <c r="BF51" s="131"/>
      <c r="BG51" s="131"/>
    </row>
    <row r="52" spans="1:59" ht="29.45" hidden="1" thickBot="1">
      <c r="A52" s="146"/>
      <c r="B52" s="255"/>
      <c r="C52" s="246"/>
      <c r="D52" s="246"/>
      <c r="E52" s="246"/>
      <c r="F52" s="108"/>
      <c r="G52" s="108"/>
      <c r="H52" s="246"/>
      <c r="I52" s="246"/>
      <c r="J52" s="246"/>
      <c r="K52" s="246"/>
      <c r="L52" s="248"/>
      <c r="M52" s="109"/>
      <c r="N52" s="108"/>
      <c r="O52" s="246"/>
      <c r="P52" s="246"/>
      <c r="Q52" s="252"/>
      <c r="R52" s="246"/>
      <c r="S52" s="246"/>
      <c r="T52" s="113"/>
      <c r="U52" s="108"/>
      <c r="V52" s="246"/>
      <c r="W52" s="246"/>
      <c r="X52" s="252"/>
      <c r="Y52" s="246"/>
      <c r="Z52" s="246"/>
      <c r="AA52" s="108"/>
      <c r="AB52" s="108"/>
      <c r="AC52" s="252"/>
      <c r="AD52" s="246"/>
      <c r="AE52" s="252"/>
      <c r="AF52" s="557">
        <f t="shared" ref="AF52" si="7">SUM(B52:AE52)</f>
        <v>0</v>
      </c>
      <c r="AX52" s="101"/>
      <c r="AY52" s="101"/>
      <c r="AZ52" s="6"/>
      <c r="BA52" s="6"/>
      <c r="BB52" s="6"/>
      <c r="BC52" s="6"/>
      <c r="BD52" s="6"/>
      <c r="BE52" s="6"/>
      <c r="BF52" s="6"/>
    </row>
    <row r="53" spans="1:59" ht="29.45" hidden="1" thickBot="1">
      <c r="A53" s="190"/>
      <c r="B53" s="226"/>
      <c r="C53" s="227"/>
      <c r="D53" s="227"/>
      <c r="E53" s="227"/>
      <c r="F53" s="133"/>
      <c r="G53" s="133"/>
      <c r="H53" s="227"/>
      <c r="I53" s="227"/>
      <c r="J53" s="227"/>
      <c r="K53" s="227"/>
      <c r="L53" s="228"/>
      <c r="M53" s="136"/>
      <c r="N53" s="133"/>
      <c r="O53" s="227"/>
      <c r="P53" s="227"/>
      <c r="Q53" s="229"/>
      <c r="R53" s="227"/>
      <c r="S53" s="227"/>
      <c r="T53" s="134"/>
      <c r="U53" s="133"/>
      <c r="V53" s="230"/>
      <c r="W53" s="227"/>
      <c r="X53" s="229"/>
      <c r="Y53" s="227"/>
      <c r="Z53" s="227"/>
      <c r="AA53" s="134"/>
      <c r="AB53" s="133"/>
      <c r="AC53" s="229"/>
      <c r="AD53" s="227"/>
      <c r="AE53" s="229"/>
      <c r="AF53" s="558">
        <f>SUM(B53:AE53)</f>
        <v>0</v>
      </c>
      <c r="AX53" s="101"/>
      <c r="AY53" s="101"/>
      <c r="AZ53" s="6"/>
      <c r="BA53" s="6"/>
      <c r="BB53" s="6"/>
      <c r="BC53" s="6"/>
      <c r="BD53" s="6"/>
      <c r="BE53" s="6"/>
      <c r="BF53" s="6"/>
      <c r="BG53" s="6"/>
    </row>
    <row r="54" spans="1:59" ht="28.9" hidden="1" thickBot="1">
      <c r="A54" s="146"/>
      <c r="B54" s="255"/>
      <c r="C54" s="246"/>
      <c r="D54" s="246"/>
      <c r="E54" s="246"/>
      <c r="F54" s="108"/>
      <c r="G54" s="108"/>
      <c r="H54" s="246"/>
      <c r="I54" s="246"/>
      <c r="J54" s="246"/>
      <c r="K54" s="246"/>
      <c r="L54" s="248"/>
      <c r="M54" s="109"/>
      <c r="N54" s="108"/>
      <c r="O54" s="246"/>
      <c r="P54" s="246"/>
      <c r="Q54" s="252"/>
      <c r="R54" s="246"/>
      <c r="S54" s="246"/>
      <c r="T54" s="113"/>
      <c r="U54" s="108"/>
      <c r="V54" s="247"/>
      <c r="W54" s="246"/>
      <c r="X54" s="252"/>
      <c r="Y54" s="246"/>
      <c r="Z54" s="246"/>
      <c r="AA54" s="113"/>
      <c r="AB54" s="108"/>
      <c r="AC54" s="252"/>
      <c r="AD54" s="246"/>
      <c r="AE54" s="252"/>
      <c r="AF54" s="556">
        <f>SUM(B54:AE54)</f>
        <v>0</v>
      </c>
    </row>
    <row r="55" spans="1:59" ht="28.9" hidden="1" thickBot="1">
      <c r="A55" s="146"/>
      <c r="B55" s="255"/>
      <c r="C55" s="246"/>
      <c r="D55" s="246"/>
      <c r="E55" s="246"/>
      <c r="F55" s="108"/>
      <c r="G55" s="108"/>
      <c r="H55" s="246"/>
      <c r="I55" s="246"/>
      <c r="J55" s="246"/>
      <c r="K55" s="246"/>
      <c r="L55" s="248"/>
      <c r="M55" s="109"/>
      <c r="N55" s="108"/>
      <c r="O55" s="246"/>
      <c r="P55" s="246"/>
      <c r="Q55" s="252"/>
      <c r="R55" s="246"/>
      <c r="S55" s="246"/>
      <c r="T55" s="113"/>
      <c r="U55" s="108"/>
      <c r="V55" s="247"/>
      <c r="W55" s="246"/>
      <c r="X55" s="252"/>
      <c r="Y55" s="246"/>
      <c r="Z55" s="246"/>
      <c r="AA55" s="113"/>
      <c r="AB55" s="108"/>
      <c r="AC55" s="252"/>
      <c r="AD55" s="246"/>
      <c r="AE55" s="252"/>
      <c r="AF55" s="557">
        <f t="shared" ref="AF55" si="8">SUM(B55:AE55)</f>
        <v>0</v>
      </c>
    </row>
    <row r="56" spans="1:59" ht="28.9" hidden="1" thickBot="1">
      <c r="A56" s="189"/>
      <c r="B56" s="259"/>
      <c r="C56" s="232"/>
      <c r="D56" s="232"/>
      <c r="E56" s="232"/>
      <c r="F56" s="137"/>
      <c r="G56" s="137"/>
      <c r="H56" s="232"/>
      <c r="I56" s="232"/>
      <c r="J56" s="232"/>
      <c r="K56" s="232"/>
      <c r="L56" s="260"/>
      <c r="M56" s="138"/>
      <c r="N56" s="137"/>
      <c r="O56" s="232"/>
      <c r="P56" s="232"/>
      <c r="Q56" s="233"/>
      <c r="R56" s="232"/>
      <c r="S56" s="232"/>
      <c r="T56" s="139"/>
      <c r="U56" s="137"/>
      <c r="V56" s="231"/>
      <c r="W56" s="232"/>
      <c r="X56" s="233"/>
      <c r="Y56" s="232"/>
      <c r="Z56" s="232"/>
      <c r="AA56" s="139"/>
      <c r="AB56" s="137"/>
      <c r="AC56" s="233"/>
      <c r="AD56" s="232"/>
      <c r="AE56" s="233"/>
      <c r="AF56" s="558">
        <f>SUM(B56:AE56)</f>
        <v>0</v>
      </c>
    </row>
    <row r="57" spans="1:59" ht="28.9" hidden="1" thickBot="1">
      <c r="A57" s="173"/>
      <c r="B57" s="266"/>
      <c r="C57" s="222"/>
      <c r="D57" s="222"/>
      <c r="E57" s="222"/>
      <c r="F57" s="105"/>
      <c r="G57" s="105"/>
      <c r="H57" s="222"/>
      <c r="I57" s="222"/>
      <c r="J57" s="222"/>
      <c r="K57" s="222"/>
      <c r="L57" s="253"/>
      <c r="M57" s="106"/>
      <c r="N57" s="105"/>
      <c r="O57" s="222"/>
      <c r="P57" s="222"/>
      <c r="Q57" s="254"/>
      <c r="R57" s="222"/>
      <c r="S57" s="222"/>
      <c r="T57" s="112"/>
      <c r="U57" s="105"/>
      <c r="V57" s="256"/>
      <c r="W57" s="222"/>
      <c r="X57" s="254"/>
      <c r="Y57" s="222"/>
      <c r="Z57" s="222"/>
      <c r="AA57" s="112"/>
      <c r="AB57" s="105"/>
      <c r="AC57" s="254"/>
      <c r="AD57" s="222"/>
      <c r="AE57" s="254"/>
      <c r="AF57" s="556">
        <f>SUM(B57:AE57)</f>
        <v>0</v>
      </c>
    </row>
    <row r="58" spans="1:59" ht="28.9" hidden="1" thickBot="1">
      <c r="A58" s="146"/>
      <c r="B58" s="255"/>
      <c r="C58" s="246"/>
      <c r="D58" s="246"/>
      <c r="E58" s="246"/>
      <c r="F58" s="108"/>
      <c r="G58" s="108"/>
      <c r="H58" s="246"/>
      <c r="I58" s="246"/>
      <c r="J58" s="246"/>
      <c r="K58" s="246"/>
      <c r="L58" s="248"/>
      <c r="M58" s="109"/>
      <c r="N58" s="108"/>
      <c r="O58" s="246"/>
      <c r="P58" s="246"/>
      <c r="Q58" s="252"/>
      <c r="R58" s="246"/>
      <c r="S58" s="246"/>
      <c r="T58" s="113"/>
      <c r="U58" s="108"/>
      <c r="V58" s="246"/>
      <c r="W58" s="246"/>
      <c r="X58" s="252"/>
      <c r="Y58" s="246"/>
      <c r="Z58" s="246"/>
      <c r="AA58" s="108"/>
      <c r="AB58" s="108"/>
      <c r="AC58" s="252"/>
      <c r="AD58" s="246"/>
      <c r="AE58" s="252"/>
      <c r="AF58" s="557">
        <f t="shared" ref="AF58" si="9">SUM(B58:AE58)</f>
        <v>0</v>
      </c>
    </row>
    <row r="59" spans="1:59" ht="28.9" hidden="1" thickBot="1">
      <c r="A59" s="190"/>
      <c r="B59" s="226"/>
      <c r="C59" s="227"/>
      <c r="D59" s="227"/>
      <c r="E59" s="227"/>
      <c r="F59" s="133"/>
      <c r="G59" s="133"/>
      <c r="H59" s="227"/>
      <c r="I59" s="227"/>
      <c r="J59" s="227"/>
      <c r="K59" s="227"/>
      <c r="L59" s="228"/>
      <c r="M59" s="136"/>
      <c r="N59" s="133"/>
      <c r="O59" s="227"/>
      <c r="P59" s="227"/>
      <c r="Q59" s="229"/>
      <c r="R59" s="227"/>
      <c r="S59" s="227"/>
      <c r="T59" s="134"/>
      <c r="U59" s="133"/>
      <c r="V59" s="230"/>
      <c r="W59" s="227"/>
      <c r="X59" s="229"/>
      <c r="Y59" s="227"/>
      <c r="Z59" s="227"/>
      <c r="AA59" s="134"/>
      <c r="AB59" s="133"/>
      <c r="AC59" s="229"/>
      <c r="AD59" s="227"/>
      <c r="AE59" s="229"/>
      <c r="AF59" s="558">
        <f>SUM(B59:AE59)</f>
        <v>0</v>
      </c>
    </row>
    <row r="60" spans="1:59" ht="28.9" hidden="1" thickBot="1">
      <c r="A60" s="146"/>
      <c r="B60" s="255"/>
      <c r="C60" s="246"/>
      <c r="D60" s="246"/>
      <c r="E60" s="246"/>
      <c r="F60" s="108"/>
      <c r="G60" s="108"/>
      <c r="H60" s="246"/>
      <c r="I60" s="246"/>
      <c r="J60" s="246"/>
      <c r="K60" s="246"/>
      <c r="L60" s="248"/>
      <c r="M60" s="109"/>
      <c r="N60" s="108"/>
      <c r="O60" s="246"/>
      <c r="P60" s="246"/>
      <c r="Q60" s="252"/>
      <c r="R60" s="246"/>
      <c r="S60" s="246"/>
      <c r="T60" s="113"/>
      <c r="U60" s="108"/>
      <c r="V60" s="247"/>
      <c r="W60" s="246"/>
      <c r="X60" s="252"/>
      <c r="Y60" s="246"/>
      <c r="Z60" s="246"/>
      <c r="AA60" s="113"/>
      <c r="AB60" s="108"/>
      <c r="AC60" s="252"/>
      <c r="AD60" s="246"/>
      <c r="AE60" s="252"/>
      <c r="AF60" s="556">
        <f>SUM(B60:AE60)</f>
        <v>0</v>
      </c>
    </row>
    <row r="61" spans="1:59" ht="28.9" hidden="1" thickBot="1">
      <c r="A61" s="146"/>
      <c r="B61" s="255"/>
      <c r="C61" s="246"/>
      <c r="D61" s="246"/>
      <c r="E61" s="246"/>
      <c r="F61" s="108"/>
      <c r="G61" s="108"/>
      <c r="H61" s="246"/>
      <c r="I61" s="246"/>
      <c r="J61" s="246"/>
      <c r="K61" s="246"/>
      <c r="L61" s="248"/>
      <c r="M61" s="109"/>
      <c r="N61" s="108"/>
      <c r="O61" s="246"/>
      <c r="P61" s="246"/>
      <c r="Q61" s="252"/>
      <c r="R61" s="246"/>
      <c r="S61" s="246"/>
      <c r="T61" s="113"/>
      <c r="U61" s="108"/>
      <c r="V61" s="247"/>
      <c r="W61" s="246"/>
      <c r="X61" s="252"/>
      <c r="Y61" s="246"/>
      <c r="Z61" s="246"/>
      <c r="AA61" s="113"/>
      <c r="AB61" s="108"/>
      <c r="AC61" s="252"/>
      <c r="AD61" s="246"/>
      <c r="AE61" s="252"/>
      <c r="AF61" s="557">
        <f t="shared" ref="AF61:AF64" si="10">SUM(B61:AE61)</f>
        <v>0</v>
      </c>
    </row>
    <row r="62" spans="1:59" ht="28.9" hidden="1" thickBot="1">
      <c r="A62" s="189"/>
      <c r="B62" s="259"/>
      <c r="C62" s="232"/>
      <c r="D62" s="232"/>
      <c r="E62" s="232"/>
      <c r="F62" s="137"/>
      <c r="G62" s="137"/>
      <c r="H62" s="232"/>
      <c r="I62" s="232"/>
      <c r="J62" s="232"/>
      <c r="K62" s="232"/>
      <c r="L62" s="260"/>
      <c r="M62" s="138"/>
      <c r="N62" s="137"/>
      <c r="O62" s="232"/>
      <c r="P62" s="232"/>
      <c r="Q62" s="233"/>
      <c r="R62" s="232"/>
      <c r="S62" s="232"/>
      <c r="T62" s="139"/>
      <c r="U62" s="137"/>
      <c r="V62" s="231"/>
      <c r="W62" s="232"/>
      <c r="X62" s="233"/>
      <c r="Y62" s="232"/>
      <c r="Z62" s="232"/>
      <c r="AA62" s="139"/>
      <c r="AB62" s="137"/>
      <c r="AC62" s="233"/>
      <c r="AD62" s="232"/>
      <c r="AE62" s="233"/>
      <c r="AF62" s="558">
        <f>SUM(B62:AE62)</f>
        <v>0</v>
      </c>
    </row>
    <row r="63" spans="1:59" ht="28.9" hidden="1" thickBot="1">
      <c r="A63" s="173"/>
      <c r="B63" s="266"/>
      <c r="C63" s="222"/>
      <c r="D63" s="222"/>
      <c r="E63" s="222"/>
      <c r="F63" s="105"/>
      <c r="G63" s="105"/>
      <c r="H63" s="222"/>
      <c r="I63" s="222"/>
      <c r="J63" s="222"/>
      <c r="K63" s="222"/>
      <c r="L63" s="253"/>
      <c r="M63" s="106"/>
      <c r="N63" s="105"/>
      <c r="O63" s="222"/>
      <c r="P63" s="222"/>
      <c r="Q63" s="254"/>
      <c r="R63" s="222"/>
      <c r="S63" s="222"/>
      <c r="T63" s="112"/>
      <c r="U63" s="105"/>
      <c r="V63" s="256"/>
      <c r="W63" s="222"/>
      <c r="X63" s="254"/>
      <c r="Y63" s="222"/>
      <c r="Z63" s="222"/>
      <c r="AA63" s="112"/>
      <c r="AB63" s="105"/>
      <c r="AC63" s="254"/>
      <c r="AD63" s="222"/>
      <c r="AE63" s="254"/>
      <c r="AF63" s="556">
        <f>SUM(B63:AE63)</f>
        <v>0</v>
      </c>
    </row>
    <row r="64" spans="1:59" ht="28.9" hidden="1" thickBot="1">
      <c r="A64" s="146"/>
      <c r="B64" s="255"/>
      <c r="C64" s="246"/>
      <c r="D64" s="246"/>
      <c r="E64" s="246"/>
      <c r="F64" s="108"/>
      <c r="G64" s="108"/>
      <c r="H64" s="246"/>
      <c r="I64" s="246"/>
      <c r="J64" s="246"/>
      <c r="K64" s="246"/>
      <c r="L64" s="248"/>
      <c r="M64" s="109"/>
      <c r="N64" s="108"/>
      <c r="O64" s="246"/>
      <c r="P64" s="246"/>
      <c r="Q64" s="252"/>
      <c r="R64" s="246"/>
      <c r="S64" s="246"/>
      <c r="T64" s="113"/>
      <c r="U64" s="108"/>
      <c r="V64" s="246"/>
      <c r="W64" s="246"/>
      <c r="X64" s="252"/>
      <c r="Y64" s="246"/>
      <c r="Z64" s="246"/>
      <c r="AA64" s="108"/>
      <c r="AB64" s="108"/>
      <c r="AC64" s="252"/>
      <c r="AD64" s="246"/>
      <c r="AE64" s="252"/>
      <c r="AF64" s="557">
        <f t="shared" si="10"/>
        <v>0</v>
      </c>
    </row>
    <row r="65" spans="1:32" ht="28.9" hidden="1" thickBot="1">
      <c r="A65" s="190"/>
      <c r="B65" s="226"/>
      <c r="C65" s="227"/>
      <c r="D65" s="227"/>
      <c r="E65" s="227"/>
      <c r="F65" s="133"/>
      <c r="G65" s="133"/>
      <c r="H65" s="227"/>
      <c r="I65" s="227"/>
      <c r="J65" s="227"/>
      <c r="K65" s="227"/>
      <c r="L65" s="228"/>
      <c r="M65" s="136"/>
      <c r="N65" s="133"/>
      <c r="O65" s="227"/>
      <c r="P65" s="227"/>
      <c r="Q65" s="229"/>
      <c r="R65" s="227"/>
      <c r="S65" s="227"/>
      <c r="T65" s="134"/>
      <c r="U65" s="133"/>
      <c r="V65" s="230"/>
      <c r="W65" s="227"/>
      <c r="X65" s="229"/>
      <c r="Y65" s="227"/>
      <c r="Z65" s="227"/>
      <c r="AA65" s="134"/>
      <c r="AB65" s="133"/>
      <c r="AC65" s="229"/>
      <c r="AD65" s="227"/>
      <c r="AE65" s="229"/>
      <c r="AF65" s="558">
        <f>SUM(B65:AE65)</f>
        <v>0</v>
      </c>
    </row>
    <row r="66" spans="1:32" ht="34.15" thickBot="1">
      <c r="A66" s="678" t="s">
        <v>40</v>
      </c>
      <c r="B66" s="267"/>
      <c r="C66" s="268"/>
      <c r="D66" s="268"/>
      <c r="E66" s="268"/>
      <c r="F66" s="269"/>
      <c r="G66" s="269"/>
      <c r="H66" s="268"/>
      <c r="I66" s="270"/>
      <c r="J66" s="270"/>
      <c r="K66" s="268"/>
      <c r="L66" s="268"/>
      <c r="M66" s="268"/>
      <c r="N66" s="271"/>
      <c r="O66" s="271"/>
      <c r="P66" s="268"/>
      <c r="Q66" s="268"/>
      <c r="R66" s="268"/>
      <c r="S66" s="269"/>
      <c r="T66" s="268"/>
      <c r="U66" s="271"/>
      <c r="V66" s="269"/>
      <c r="W66" s="269"/>
      <c r="X66" s="268"/>
      <c r="Y66" s="269"/>
      <c r="Z66" s="268"/>
      <c r="AA66" s="269"/>
      <c r="AB66" s="269"/>
      <c r="AC66" s="269"/>
      <c r="AD66" s="268"/>
      <c r="AE66" s="272"/>
      <c r="AF66" s="559" t="s">
        <v>41</v>
      </c>
    </row>
    <row r="67" spans="1:32" ht="34.15" thickBot="1">
      <c r="A67" s="679"/>
      <c r="B67" s="273"/>
      <c r="C67" s="274"/>
      <c r="D67" s="274"/>
      <c r="E67" s="274"/>
      <c r="F67" s="275"/>
      <c r="G67" s="275"/>
      <c r="H67" s="274"/>
      <c r="I67" s="276"/>
      <c r="J67" s="276"/>
      <c r="K67" s="274"/>
      <c r="L67" s="274"/>
      <c r="M67" s="274"/>
      <c r="N67" s="277"/>
      <c r="O67" s="278"/>
      <c r="P67" s="274"/>
      <c r="Q67" s="274"/>
      <c r="R67" s="274"/>
      <c r="S67" s="275"/>
      <c r="T67" s="274"/>
      <c r="U67" s="275"/>
      <c r="V67" s="275"/>
      <c r="W67" s="275"/>
      <c r="X67" s="274"/>
      <c r="Y67" s="275"/>
      <c r="Z67" s="274"/>
      <c r="AA67" s="275"/>
      <c r="AB67" s="275"/>
      <c r="AC67" s="275"/>
      <c r="AD67" s="274"/>
      <c r="AE67" s="279"/>
      <c r="AF67" s="499">
        <v>160</v>
      </c>
    </row>
    <row r="68" spans="1:32" ht="28.9" thickTop="1">
      <c r="A68" s="125" t="s">
        <v>42</v>
      </c>
      <c r="B68" s="126"/>
      <c r="C68" s="126"/>
      <c r="D68" s="124"/>
      <c r="E68" s="124"/>
      <c r="F68" s="124"/>
      <c r="G68" s="124"/>
      <c r="H68" s="127"/>
      <c r="I68" s="7"/>
      <c r="J68" s="7"/>
      <c r="K68" s="20" t="s">
        <v>43</v>
      </c>
      <c r="L68" s="21"/>
      <c r="M68" s="21"/>
      <c r="N68" s="21"/>
      <c r="O68" s="21"/>
      <c r="P68" s="128"/>
      <c r="Q68" s="128"/>
      <c r="R68" s="128"/>
      <c r="S68" s="128" t="s">
        <v>44</v>
      </c>
      <c r="T68" s="23"/>
      <c r="U68" s="129"/>
      <c r="V68" s="7"/>
      <c r="W68" s="7"/>
      <c r="X68" s="25"/>
      <c r="Y68" s="26"/>
      <c r="Z68" s="26"/>
      <c r="AA68" s="26"/>
      <c r="AB68" s="90" t="s">
        <v>45</v>
      </c>
      <c r="AC68" s="26"/>
      <c r="AD68" s="26"/>
      <c r="AE68" s="26"/>
      <c r="AF68" s="15"/>
    </row>
    <row r="69" spans="1:32" ht="28.15">
      <c r="A69" s="16" t="s">
        <v>46</v>
      </c>
      <c r="B69" s="17"/>
      <c r="C69" s="17"/>
      <c r="D69" s="18"/>
      <c r="E69" s="18"/>
      <c r="F69" s="18"/>
      <c r="G69" s="18"/>
      <c r="H69" s="19"/>
      <c r="I69" s="7"/>
      <c r="J69" s="7"/>
      <c r="K69" s="20" t="s">
        <v>47</v>
      </c>
      <c r="L69" s="21"/>
      <c r="M69" s="21"/>
      <c r="N69" s="21"/>
      <c r="O69" s="21"/>
      <c r="P69" s="128"/>
      <c r="Q69" s="128"/>
      <c r="R69" s="128" t="s">
        <v>48</v>
      </c>
      <c r="S69" s="23"/>
      <c r="T69" s="23"/>
      <c r="U69" s="24"/>
      <c r="V69" s="7"/>
      <c r="W69" s="7"/>
      <c r="X69" s="89"/>
      <c r="Y69" s="90"/>
      <c r="Z69" s="90"/>
      <c r="AA69" s="90"/>
      <c r="AB69" s="90"/>
      <c r="AC69" s="90"/>
      <c r="AD69" s="90"/>
      <c r="AE69" s="90"/>
      <c r="AF69" s="95"/>
    </row>
    <row r="70" spans="1:32" ht="28.15">
      <c r="A70" s="85" t="s">
        <v>49</v>
      </c>
      <c r="B70" s="86"/>
      <c r="C70" s="86"/>
      <c r="D70" s="10"/>
      <c r="E70" s="10"/>
      <c r="F70" s="10"/>
      <c r="G70" s="10"/>
      <c r="H70" s="87"/>
      <c r="I70" s="7"/>
      <c r="J70" s="7"/>
      <c r="K70" s="20" t="s">
        <v>50</v>
      </c>
      <c r="L70" s="21"/>
      <c r="M70" s="21"/>
      <c r="N70" s="21"/>
      <c r="O70" s="21"/>
      <c r="P70" s="128"/>
      <c r="Q70" s="128"/>
      <c r="R70" s="128"/>
      <c r="S70" s="128"/>
      <c r="T70" s="128"/>
      <c r="U70" s="129"/>
      <c r="V70" s="7"/>
      <c r="W70" s="7"/>
      <c r="X70" s="93"/>
      <c r="Y70" s="90"/>
      <c r="Z70" s="90"/>
      <c r="AA70" s="90"/>
      <c r="AB70" s="90"/>
      <c r="AC70" s="90"/>
      <c r="AD70" s="90"/>
      <c r="AE70" s="90"/>
      <c r="AF70" s="95"/>
    </row>
    <row r="71" spans="1:32" ht="28.9">
      <c r="A71" s="32" t="s">
        <v>51</v>
      </c>
      <c r="B71" s="33"/>
      <c r="C71" s="33"/>
      <c r="D71" s="34"/>
      <c r="E71" s="34"/>
      <c r="F71" s="34"/>
      <c r="G71" s="34"/>
      <c r="H71" s="35"/>
      <c r="I71" s="36"/>
      <c r="J71" s="36"/>
      <c r="K71" s="20" t="s">
        <v>70</v>
      </c>
      <c r="L71" s="21"/>
      <c r="M71" s="21"/>
      <c r="N71" s="21"/>
      <c r="O71" s="21"/>
      <c r="P71" s="21"/>
      <c r="Q71" s="21"/>
      <c r="R71" s="21"/>
      <c r="S71" s="202"/>
      <c r="T71" s="21"/>
      <c r="U71" s="203"/>
      <c r="V71" s="40"/>
      <c r="W71" s="6"/>
      <c r="X71" s="88"/>
      <c r="Y71" s="94"/>
      <c r="Z71" s="91"/>
      <c r="AA71" s="94"/>
      <c r="AB71" s="94"/>
      <c r="AC71" s="94"/>
      <c r="AD71" s="94"/>
      <c r="AE71" s="94"/>
      <c r="AF71" s="92"/>
    </row>
    <row r="72" spans="1:32" ht="28.9">
      <c r="A72" s="42" t="s">
        <v>53</v>
      </c>
      <c r="B72" s="43"/>
      <c r="C72" s="43"/>
      <c r="D72" s="43"/>
      <c r="E72" s="43"/>
      <c r="F72" s="43"/>
      <c r="G72" s="43"/>
      <c r="H72" s="44"/>
      <c r="I72" s="36"/>
      <c r="J72" s="36"/>
      <c r="K72" s="20" t="s">
        <v>71</v>
      </c>
      <c r="L72" s="21"/>
      <c r="M72" s="21"/>
      <c r="N72" s="21"/>
      <c r="O72" s="21"/>
      <c r="P72" s="21"/>
      <c r="Q72" s="21"/>
      <c r="R72" s="21"/>
      <c r="S72" s="202"/>
      <c r="T72" s="21"/>
      <c r="U72" s="203"/>
      <c r="V72" s="40"/>
      <c r="W72" s="6"/>
      <c r="X72" s="88"/>
      <c r="Y72" s="94"/>
      <c r="Z72" s="91"/>
      <c r="AA72" s="94"/>
      <c r="AB72" s="94"/>
      <c r="AC72" s="94"/>
      <c r="AD72" s="94"/>
      <c r="AE72" s="94"/>
      <c r="AF72" s="92"/>
    </row>
    <row r="73" spans="1:32" ht="28.9">
      <c r="A73" s="47" t="s">
        <v>55</v>
      </c>
      <c r="B73" s="48"/>
      <c r="C73" s="48"/>
      <c r="D73" s="49"/>
      <c r="E73" s="49"/>
      <c r="F73" s="49"/>
      <c r="G73" s="49"/>
      <c r="H73" s="50"/>
      <c r="I73" s="36"/>
      <c r="J73" s="36"/>
      <c r="K73" s="20" t="s">
        <v>56</v>
      </c>
      <c r="L73" s="21"/>
      <c r="M73" s="21"/>
      <c r="N73" s="21"/>
      <c r="O73" s="21"/>
      <c r="P73" s="21"/>
      <c r="Q73" s="21"/>
      <c r="R73" s="21"/>
      <c r="S73" s="202"/>
      <c r="T73" s="21"/>
      <c r="U73" s="204"/>
      <c r="V73" s="40"/>
      <c r="W73" s="6"/>
      <c r="X73" s="88"/>
      <c r="Y73" s="94"/>
      <c r="Z73" s="91"/>
      <c r="AA73" s="94"/>
      <c r="AB73" s="94"/>
      <c r="AC73" s="94"/>
      <c r="AD73" s="94"/>
      <c r="AE73" s="94"/>
      <c r="AF73" s="95"/>
    </row>
    <row r="74" spans="1:32" ht="28.9">
      <c r="A74" s="52" t="s">
        <v>57</v>
      </c>
      <c r="B74" s="53"/>
      <c r="C74" s="53"/>
      <c r="D74" s="53"/>
      <c r="E74" s="53"/>
      <c r="F74" s="53"/>
      <c r="G74" s="53"/>
      <c r="H74" s="54"/>
      <c r="I74" s="36"/>
      <c r="J74" s="36"/>
      <c r="K74" s="20" t="s">
        <v>58</v>
      </c>
      <c r="L74" s="21"/>
      <c r="M74" s="21"/>
      <c r="N74" s="21"/>
      <c r="O74" s="21"/>
      <c r="P74" s="21"/>
      <c r="Q74" s="21" t="s">
        <v>59</v>
      </c>
      <c r="R74" s="21"/>
      <c r="S74" s="202"/>
      <c r="T74" s="21"/>
      <c r="U74" s="203"/>
      <c r="V74" s="40"/>
      <c r="W74" s="6"/>
      <c r="X74" s="88"/>
      <c r="Y74" s="94"/>
      <c r="Z74" s="91"/>
      <c r="AA74" s="94"/>
      <c r="AB74" s="94"/>
      <c r="AC74" s="94"/>
      <c r="AD74" s="94"/>
      <c r="AE74" s="94"/>
      <c r="AF74" s="92"/>
    </row>
    <row r="75" spans="1:32" ht="28.9">
      <c r="A75" s="56" t="s">
        <v>60</v>
      </c>
      <c r="B75" s="57"/>
      <c r="C75" s="57"/>
      <c r="D75" s="58"/>
      <c r="E75" s="58"/>
      <c r="F75" s="58"/>
      <c r="G75" s="58"/>
      <c r="H75" s="59"/>
      <c r="I75" s="6"/>
      <c r="J75" s="6"/>
      <c r="K75" s="20" t="s">
        <v>61</v>
      </c>
      <c r="L75" s="21"/>
      <c r="M75" s="21"/>
      <c r="N75" s="21"/>
      <c r="O75" s="21"/>
      <c r="P75" s="21"/>
      <c r="Q75" s="21"/>
      <c r="R75" s="21"/>
      <c r="S75" s="202"/>
      <c r="T75" s="21"/>
      <c r="U75" s="204"/>
      <c r="V75" s="6"/>
      <c r="W75" s="6"/>
      <c r="X75" s="88"/>
      <c r="Y75" s="94"/>
      <c r="Z75" s="91"/>
      <c r="AA75" s="94"/>
      <c r="AB75" s="94"/>
      <c r="AC75" s="94"/>
      <c r="AD75" s="94"/>
      <c r="AE75" s="94"/>
      <c r="AF75" s="92"/>
    </row>
    <row r="76" spans="1:32" ht="29.45" thickBot="1">
      <c r="A76" s="60" t="s">
        <v>62</v>
      </c>
      <c r="B76" s="61"/>
      <c r="C76" s="61"/>
      <c r="D76" s="61"/>
      <c r="E76" s="61"/>
      <c r="F76" s="61"/>
      <c r="G76" s="61"/>
      <c r="H76" s="62"/>
      <c r="I76" s="6"/>
      <c r="J76" s="6"/>
      <c r="K76" s="63" t="s">
        <v>63</v>
      </c>
      <c r="L76" s="64"/>
      <c r="M76" s="64"/>
      <c r="N76" s="64"/>
      <c r="O76" s="64"/>
      <c r="P76" s="64"/>
      <c r="Q76" s="64"/>
      <c r="R76" s="64"/>
      <c r="S76" s="205"/>
      <c r="T76" s="64"/>
      <c r="U76" s="206"/>
      <c r="V76" s="6"/>
      <c r="W76" s="6"/>
      <c r="X76" s="96"/>
      <c r="Y76" s="97"/>
      <c r="Z76" s="98"/>
      <c r="AA76" s="97"/>
      <c r="AB76" s="97"/>
      <c r="AC76" s="97"/>
      <c r="AD76" s="97"/>
      <c r="AE76" s="97"/>
      <c r="AF76" s="99"/>
    </row>
    <row r="77" spans="1:32" ht="28.9">
      <c r="A77" s="6"/>
      <c r="B77" s="6"/>
      <c r="C77" s="6"/>
      <c r="D77" s="6"/>
      <c r="E77" s="6"/>
      <c r="F77" s="6"/>
      <c r="G77" s="6"/>
      <c r="H77" s="6"/>
      <c r="I77" s="6"/>
      <c r="J77" s="72"/>
      <c r="K77" s="73"/>
      <c r="L77" s="74"/>
      <c r="M77" s="74"/>
      <c r="N77" s="74"/>
      <c r="O77" s="74"/>
      <c r="P77" s="74"/>
      <c r="Q77" s="74"/>
      <c r="R77" s="72"/>
      <c r="S77" s="72"/>
      <c r="T77" s="72"/>
      <c r="U77" s="72"/>
      <c r="V77" s="72"/>
      <c r="W77" s="72"/>
      <c r="X77" s="72"/>
      <c r="Y77" s="72"/>
      <c r="Z77" s="6"/>
      <c r="AA77" s="6"/>
      <c r="AB77" s="6"/>
      <c r="AC77" s="6"/>
      <c r="AD77" s="6"/>
      <c r="AE77" s="6"/>
      <c r="AF77" s="6"/>
    </row>
    <row r="78" spans="1:32" ht="28.9">
      <c r="A78" s="6" t="s">
        <v>64</v>
      </c>
      <c r="B78" s="6"/>
      <c r="C78" s="6"/>
      <c r="D78" s="6"/>
      <c r="E78" s="6"/>
      <c r="F78" s="6"/>
      <c r="G78" s="6"/>
      <c r="H78" s="6" t="s">
        <v>65</v>
      </c>
      <c r="I78" s="6"/>
      <c r="J78" s="72"/>
      <c r="K78" s="73"/>
      <c r="L78" s="74"/>
      <c r="M78" s="74"/>
      <c r="N78" s="74"/>
      <c r="O78" s="74"/>
      <c r="P78" s="74" t="s">
        <v>66</v>
      </c>
      <c r="Q78" s="74"/>
      <c r="R78" s="72"/>
      <c r="S78" s="72"/>
      <c r="T78" s="72"/>
      <c r="U78" s="72"/>
      <c r="V78" s="72"/>
      <c r="W78" s="72"/>
      <c r="X78" s="72"/>
      <c r="Y78" s="72"/>
      <c r="Z78" s="6"/>
      <c r="AA78" s="6" t="s">
        <v>67</v>
      </c>
      <c r="AB78" s="6"/>
      <c r="AC78" s="6"/>
      <c r="AD78" s="6"/>
      <c r="AE78" s="6"/>
      <c r="AF78" s="6"/>
    </row>
    <row r="79" spans="1:32" ht="28.9">
      <c r="P79" s="74" t="s">
        <v>68</v>
      </c>
      <c r="Q79" s="74"/>
    </row>
  </sheetData>
  <mergeCells count="1">
    <mergeCell ref="A66:A67"/>
  </mergeCells>
  <pageMargins left="0.7" right="0.7" top="0.75" bottom="0.75" header="0.3" footer="0.3"/>
  <pageSetup paperSize="9" orientation="landscape"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2F542-972A-F747-A6EC-98F76AFE83EE}">
  <sheetPr>
    <tabColor rgb="FFFFC000"/>
  </sheetPr>
  <dimension ref="A1:AI80"/>
  <sheetViews>
    <sheetView showGridLines="0" zoomScale="44" zoomScaleNormal="40" workbookViewId="0">
      <selection activeCell="S22" sqref="S22"/>
    </sheetView>
  </sheetViews>
  <sheetFormatPr defaultColWidth="8.7109375" defaultRowHeight="14.45"/>
  <cols>
    <col min="1" max="1" width="19.7109375" customWidth="1"/>
    <col min="4" max="4" width="8.7109375" style="1"/>
    <col min="5" max="5" width="8.7109375" customWidth="1"/>
    <col min="11" max="11" width="8.140625" customWidth="1"/>
    <col min="23" max="23" width="9.42578125" customWidth="1"/>
    <col min="26" max="26" width="9.140625" customWidth="1"/>
    <col min="33" max="33" width="11.140625" customWidth="1"/>
    <col min="34" max="34" width="20.7109375" customWidth="1"/>
  </cols>
  <sheetData>
    <row r="1" spans="1:34" ht="28.9" thickTop="1" thickBot="1">
      <c r="A1" s="185" t="s">
        <v>0</v>
      </c>
      <c r="B1" s="280">
        <v>1</v>
      </c>
      <c r="C1" s="281">
        <v>2</v>
      </c>
      <c r="D1" s="140">
        <v>3</v>
      </c>
      <c r="E1" s="141">
        <v>4</v>
      </c>
      <c r="F1" s="281">
        <v>5</v>
      </c>
      <c r="G1" s="281">
        <v>6</v>
      </c>
      <c r="H1" s="281">
        <v>7</v>
      </c>
      <c r="I1" s="369">
        <v>8</v>
      </c>
      <c r="J1" s="281">
        <v>9</v>
      </c>
      <c r="K1" s="140">
        <v>10</v>
      </c>
      <c r="L1" s="142">
        <v>11</v>
      </c>
      <c r="M1" s="284">
        <v>12</v>
      </c>
      <c r="N1" s="281">
        <v>13</v>
      </c>
      <c r="O1" s="281">
        <v>14</v>
      </c>
      <c r="P1" s="283">
        <v>15</v>
      </c>
      <c r="Q1" s="281">
        <v>16</v>
      </c>
      <c r="R1" s="142">
        <v>17</v>
      </c>
      <c r="S1" s="140">
        <v>18</v>
      </c>
      <c r="T1" s="281">
        <v>19</v>
      </c>
      <c r="U1" s="283">
        <v>20</v>
      </c>
      <c r="V1" s="281">
        <v>21</v>
      </c>
      <c r="W1" s="402">
        <v>22</v>
      </c>
      <c r="X1" s="281">
        <v>23</v>
      </c>
      <c r="Y1" s="142">
        <v>24</v>
      </c>
      <c r="Z1" s="140">
        <v>25</v>
      </c>
      <c r="AA1" s="283">
        <v>26</v>
      </c>
      <c r="AB1" s="281">
        <v>27</v>
      </c>
      <c r="AC1" s="283">
        <v>28</v>
      </c>
      <c r="AD1" s="281">
        <v>29</v>
      </c>
      <c r="AE1" s="281">
        <v>30</v>
      </c>
      <c r="AF1" s="143">
        <v>31</v>
      </c>
      <c r="AG1" s="176" t="s">
        <v>1</v>
      </c>
      <c r="AH1" s="485" t="s">
        <v>2</v>
      </c>
    </row>
    <row r="2" spans="1:34" ht="29.45" thickBot="1">
      <c r="A2" s="186" t="s">
        <v>79</v>
      </c>
      <c r="B2" s="290" t="s">
        <v>5</v>
      </c>
      <c r="C2" s="120" t="s">
        <v>6</v>
      </c>
      <c r="D2" s="181" t="s">
        <v>7</v>
      </c>
      <c r="E2" s="181" t="s">
        <v>8</v>
      </c>
      <c r="F2" s="119" t="s">
        <v>9</v>
      </c>
      <c r="G2" s="119" t="s">
        <v>10</v>
      </c>
      <c r="H2" s="119" t="s">
        <v>4</v>
      </c>
      <c r="I2" s="397" t="s">
        <v>5</v>
      </c>
      <c r="J2" s="120" t="s">
        <v>6</v>
      </c>
      <c r="K2" s="182" t="s">
        <v>7</v>
      </c>
      <c r="L2" s="181" t="s">
        <v>8</v>
      </c>
      <c r="M2" s="119" t="s">
        <v>9</v>
      </c>
      <c r="N2" s="119" t="s">
        <v>10</v>
      </c>
      <c r="O2" s="119" t="s">
        <v>4</v>
      </c>
      <c r="P2" s="119" t="s">
        <v>5</v>
      </c>
      <c r="Q2" s="120" t="s">
        <v>6</v>
      </c>
      <c r="R2" s="182" t="s">
        <v>7</v>
      </c>
      <c r="S2" s="181" t="s">
        <v>8</v>
      </c>
      <c r="T2" s="119" t="s">
        <v>9</v>
      </c>
      <c r="U2" s="119" t="s">
        <v>10</v>
      </c>
      <c r="V2" s="119" t="s">
        <v>4</v>
      </c>
      <c r="W2" s="397" t="s">
        <v>5</v>
      </c>
      <c r="X2" s="120" t="s">
        <v>6</v>
      </c>
      <c r="Y2" s="182" t="s">
        <v>7</v>
      </c>
      <c r="Z2" s="181" t="s">
        <v>8</v>
      </c>
      <c r="AA2" s="291" t="s">
        <v>9</v>
      </c>
      <c r="AB2" s="287" t="s">
        <v>10</v>
      </c>
      <c r="AC2" s="9" t="s">
        <v>4</v>
      </c>
      <c r="AD2" s="287" t="s">
        <v>5</v>
      </c>
      <c r="AE2" s="120" t="s">
        <v>6</v>
      </c>
      <c r="AF2" s="121" t="s">
        <v>7</v>
      </c>
      <c r="AG2" s="214">
        <f>SUM(AG5,AG8,AG11,AG17,AG20,AG23,AG26,AG29,AG32,AG35,AG38,AG41,AG44,AG47,AG50,AG53,AG56,AG59)</f>
        <v>60</v>
      </c>
      <c r="AH2" s="486" t="s">
        <v>11</v>
      </c>
    </row>
    <row r="3" spans="1:34" ht="28.9" thickBot="1">
      <c r="A3" s="146" t="s">
        <v>12</v>
      </c>
      <c r="B3" s="627" t="s">
        <v>13</v>
      </c>
      <c r="C3" s="624" t="s">
        <v>13</v>
      </c>
      <c r="D3" s="624"/>
      <c r="E3" s="624"/>
      <c r="F3" s="220" t="s">
        <v>13</v>
      </c>
      <c r="G3" s="220" t="s">
        <v>13</v>
      </c>
      <c r="H3" s="220" t="s">
        <v>13</v>
      </c>
      <c r="I3" s="382" t="s">
        <v>13</v>
      </c>
      <c r="J3" s="220" t="s">
        <v>13</v>
      </c>
      <c r="K3" s="122"/>
      <c r="L3" s="122"/>
      <c r="M3" s="628" t="s">
        <v>13</v>
      </c>
      <c r="N3" s="624" t="s">
        <v>13</v>
      </c>
      <c r="O3" s="624" t="s">
        <v>13</v>
      </c>
      <c r="P3" s="624" t="s">
        <v>13</v>
      </c>
      <c r="Q3" s="624" t="s">
        <v>13</v>
      </c>
      <c r="R3" s="624"/>
      <c r="S3" s="624"/>
      <c r="T3" s="220" t="s">
        <v>13</v>
      </c>
      <c r="U3" s="220" t="s">
        <v>13</v>
      </c>
      <c r="V3" s="220" t="s">
        <v>13</v>
      </c>
      <c r="W3" s="382" t="s">
        <v>13</v>
      </c>
      <c r="X3" s="220" t="s">
        <v>13</v>
      </c>
      <c r="Y3" s="122"/>
      <c r="Z3" s="122"/>
      <c r="AA3" s="628" t="s">
        <v>13</v>
      </c>
      <c r="AB3" s="624" t="s">
        <v>13</v>
      </c>
      <c r="AC3" s="624" t="s">
        <v>13</v>
      </c>
      <c r="AD3" s="624" t="s">
        <v>13</v>
      </c>
      <c r="AE3" s="624" t="s">
        <v>13</v>
      </c>
      <c r="AF3" s="624"/>
      <c r="AG3" s="215">
        <f t="shared" ref="AG3:AG32" si="0">SUM(B3:AF3)</f>
        <v>0</v>
      </c>
      <c r="AH3" s="487"/>
    </row>
    <row r="4" spans="1:34" ht="28.9" thickBot="1">
      <c r="A4" s="146" t="s">
        <v>14</v>
      </c>
      <c r="B4" s="223">
        <v>7.5</v>
      </c>
      <c r="C4" s="224">
        <v>7.5</v>
      </c>
      <c r="D4" s="103"/>
      <c r="E4" s="103"/>
      <c r="F4" s="224">
        <v>7.5</v>
      </c>
      <c r="G4" s="224">
        <v>7.5</v>
      </c>
      <c r="H4" s="224">
        <v>7.5</v>
      </c>
      <c r="I4" s="372">
        <v>7.5</v>
      </c>
      <c r="J4" s="224">
        <v>7.5</v>
      </c>
      <c r="K4" s="103"/>
      <c r="L4" s="103"/>
      <c r="M4" s="224">
        <v>7.5</v>
      </c>
      <c r="N4" s="224">
        <v>7.5</v>
      </c>
      <c r="O4" s="224">
        <v>7.5</v>
      </c>
      <c r="P4" s="224">
        <v>7.5</v>
      </c>
      <c r="Q4" s="224">
        <v>7.5</v>
      </c>
      <c r="R4" s="103"/>
      <c r="S4" s="103"/>
      <c r="T4" s="224">
        <v>7.5</v>
      </c>
      <c r="U4" s="224">
        <v>7.5</v>
      </c>
      <c r="V4" s="224">
        <v>7.5</v>
      </c>
      <c r="W4" s="372">
        <v>7.5</v>
      </c>
      <c r="X4" s="224">
        <v>7.5</v>
      </c>
      <c r="Y4" s="103"/>
      <c r="Z4" s="103"/>
      <c r="AA4" s="224">
        <v>7.5</v>
      </c>
      <c r="AB4" s="224">
        <v>7.5</v>
      </c>
      <c r="AC4" s="224">
        <v>7.5</v>
      </c>
      <c r="AD4" s="224">
        <v>7.5</v>
      </c>
      <c r="AE4" s="224">
        <v>7.5</v>
      </c>
      <c r="AF4" s="103"/>
      <c r="AG4" s="496">
        <f t="shared" si="0"/>
        <v>165</v>
      </c>
      <c r="AH4" s="488"/>
    </row>
    <row r="5" spans="1:34" ht="28.9" thickBot="1">
      <c r="A5" s="368" t="s">
        <v>15</v>
      </c>
      <c r="B5" s="223"/>
      <c r="C5" s="224"/>
      <c r="D5" s="103"/>
      <c r="E5" s="115"/>
      <c r="F5" s="224"/>
      <c r="G5" s="224"/>
      <c r="H5" s="224"/>
      <c r="I5" s="372"/>
      <c r="J5" s="224"/>
      <c r="K5" s="145"/>
      <c r="L5" s="103"/>
      <c r="M5" s="257"/>
      <c r="N5" s="224"/>
      <c r="O5" s="257"/>
      <c r="P5" s="224"/>
      <c r="Q5" s="257"/>
      <c r="R5" s="103"/>
      <c r="S5" s="103"/>
      <c r="T5" s="257"/>
      <c r="U5" s="224"/>
      <c r="V5" s="257"/>
      <c r="W5" s="372"/>
      <c r="X5" s="257"/>
      <c r="Y5" s="103"/>
      <c r="Z5" s="104"/>
      <c r="AA5" s="225"/>
      <c r="AB5" s="224"/>
      <c r="AC5" s="257"/>
      <c r="AD5" s="224"/>
      <c r="AE5" s="224"/>
      <c r="AF5" s="103"/>
      <c r="AG5" s="497">
        <f t="shared" si="0"/>
        <v>0</v>
      </c>
      <c r="AH5" s="489"/>
    </row>
    <row r="6" spans="1:34" ht="28.9" thickBot="1">
      <c r="A6" s="146" t="s">
        <v>16</v>
      </c>
      <c r="B6" s="292" t="s">
        <v>13</v>
      </c>
      <c r="C6" s="220" t="s">
        <v>13</v>
      </c>
      <c r="D6" s="122"/>
      <c r="E6" s="122"/>
      <c r="F6" s="624" t="s">
        <v>13</v>
      </c>
      <c r="G6" s="624" t="s">
        <v>13</v>
      </c>
      <c r="H6" s="624" t="s">
        <v>13</v>
      </c>
      <c r="I6" s="624" t="s">
        <v>13</v>
      </c>
      <c r="J6" s="624" t="s">
        <v>13</v>
      </c>
      <c r="K6" s="624"/>
      <c r="L6" s="624"/>
      <c r="M6" s="293" t="s">
        <v>13</v>
      </c>
      <c r="N6" s="220" t="s">
        <v>13</v>
      </c>
      <c r="O6" s="220" t="s">
        <v>13</v>
      </c>
      <c r="P6" s="220" t="s">
        <v>13</v>
      </c>
      <c r="Q6" s="220" t="s">
        <v>13</v>
      </c>
      <c r="R6" s="122"/>
      <c r="S6" s="122"/>
      <c r="T6" s="624" t="s">
        <v>13</v>
      </c>
      <c r="U6" s="624" t="s">
        <v>13</v>
      </c>
      <c r="V6" s="624" t="s">
        <v>13</v>
      </c>
      <c r="W6" s="624" t="s">
        <v>13</v>
      </c>
      <c r="X6" s="624" t="s">
        <v>13</v>
      </c>
      <c r="Y6" s="624"/>
      <c r="Z6" s="624"/>
      <c r="AA6" s="293" t="s">
        <v>13</v>
      </c>
      <c r="AB6" s="220" t="s">
        <v>13</v>
      </c>
      <c r="AC6" s="220" t="s">
        <v>13</v>
      </c>
      <c r="AD6" s="220" t="s">
        <v>13</v>
      </c>
      <c r="AE6" s="220" t="s">
        <v>13</v>
      </c>
      <c r="AF6" s="122"/>
      <c r="AG6" s="215">
        <f t="shared" si="0"/>
        <v>0</v>
      </c>
      <c r="AH6" s="490"/>
    </row>
    <row r="7" spans="1:34" ht="28.9" thickBot="1">
      <c r="A7" s="146" t="s">
        <v>19</v>
      </c>
      <c r="B7" s="223">
        <v>7.5</v>
      </c>
      <c r="C7" s="224">
        <v>7.5</v>
      </c>
      <c r="D7" s="103"/>
      <c r="E7" s="103"/>
      <c r="F7" s="224">
        <v>7.5</v>
      </c>
      <c r="G7" s="224">
        <v>7.5</v>
      </c>
      <c r="H7" s="224">
        <v>7.5</v>
      </c>
      <c r="I7" s="372">
        <v>7.5</v>
      </c>
      <c r="J7" s="224">
        <v>7.5</v>
      </c>
      <c r="K7" s="103"/>
      <c r="L7" s="103"/>
      <c r="M7" s="224">
        <v>7.5</v>
      </c>
      <c r="N7" s="224">
        <v>7.5</v>
      </c>
      <c r="O7" s="224">
        <v>7.5</v>
      </c>
      <c r="P7" s="224">
        <v>7.5</v>
      </c>
      <c r="Q7" s="224">
        <v>7.5</v>
      </c>
      <c r="R7" s="103"/>
      <c r="S7" s="103"/>
      <c r="T7" s="224">
        <v>7.5</v>
      </c>
      <c r="U7" s="224">
        <v>7.5</v>
      </c>
      <c r="V7" s="224">
        <v>7.5</v>
      </c>
      <c r="W7" s="372">
        <v>7.5</v>
      </c>
      <c r="X7" s="224">
        <v>7.5</v>
      </c>
      <c r="Y7" s="103"/>
      <c r="Z7" s="103"/>
      <c r="AA7" s="224">
        <v>7.5</v>
      </c>
      <c r="AB7" s="224">
        <v>7.5</v>
      </c>
      <c r="AC7" s="224">
        <v>7.5</v>
      </c>
      <c r="AD7" s="224">
        <v>7.5</v>
      </c>
      <c r="AE7" s="224">
        <v>7.5</v>
      </c>
      <c r="AF7" s="103"/>
      <c r="AG7" s="496">
        <f t="shared" si="0"/>
        <v>165</v>
      </c>
      <c r="AH7" s="491">
        <f>SUM(AG7-AG61)</f>
        <v>-0.5</v>
      </c>
    </row>
    <row r="8" spans="1:34" ht="28.9" thickBot="1">
      <c r="A8" s="368" t="s">
        <v>20</v>
      </c>
      <c r="B8" s="631"/>
      <c r="C8" s="632"/>
      <c r="D8" s="634"/>
      <c r="E8" s="633"/>
      <c r="F8" s="632"/>
      <c r="G8" s="632"/>
      <c r="H8" s="632"/>
      <c r="I8" s="635"/>
      <c r="J8" s="632"/>
      <c r="K8" s="637"/>
      <c r="L8" s="634"/>
      <c r="M8" s="636"/>
      <c r="N8" s="632"/>
      <c r="O8" s="636"/>
      <c r="P8" s="632"/>
      <c r="Q8" s="636"/>
      <c r="R8" s="634"/>
      <c r="S8" s="634"/>
      <c r="T8" s="636"/>
      <c r="U8" s="632"/>
      <c r="V8" s="636"/>
      <c r="W8" s="635"/>
      <c r="X8" s="636"/>
      <c r="Y8" s="634"/>
      <c r="Z8" s="639"/>
      <c r="AA8" s="643"/>
      <c r="AB8" s="632"/>
      <c r="AC8" s="636"/>
      <c r="AD8" s="632"/>
      <c r="AE8" s="632"/>
      <c r="AF8" s="644"/>
      <c r="AG8" s="497">
        <f t="shared" si="0"/>
        <v>0</v>
      </c>
      <c r="AH8" s="492"/>
    </row>
    <row r="9" spans="1:34" ht="28.9" thickBot="1">
      <c r="A9" s="146" t="s">
        <v>21</v>
      </c>
      <c r="B9" s="223" t="s">
        <v>18</v>
      </c>
      <c r="C9" s="224" t="s">
        <v>18</v>
      </c>
      <c r="D9" s="103"/>
      <c r="E9" s="107"/>
      <c r="F9" s="246"/>
      <c r="G9" s="224"/>
      <c r="H9" s="224" t="s">
        <v>18</v>
      </c>
      <c r="I9" s="372" t="s">
        <v>18</v>
      </c>
      <c r="J9" s="224"/>
      <c r="K9" s="103"/>
      <c r="L9" s="117"/>
      <c r="M9" s="247"/>
      <c r="N9" s="224" t="s">
        <v>18</v>
      </c>
      <c r="O9" s="224" t="s">
        <v>18</v>
      </c>
      <c r="P9" s="246"/>
      <c r="Q9" s="248"/>
      <c r="R9" s="108"/>
      <c r="S9" s="108"/>
      <c r="T9" s="248" t="s">
        <v>18</v>
      </c>
      <c r="U9" s="246" t="s">
        <v>18</v>
      </c>
      <c r="V9" s="246"/>
      <c r="W9" s="375"/>
      <c r="X9" s="247"/>
      <c r="Y9" s="108"/>
      <c r="Z9" s="107" t="s">
        <v>18</v>
      </c>
      <c r="AA9" s="246" t="s">
        <v>18</v>
      </c>
      <c r="AB9" s="246"/>
      <c r="AC9" s="248"/>
      <c r="AD9" s="248"/>
      <c r="AE9" s="248"/>
      <c r="AF9" s="107" t="s">
        <v>18</v>
      </c>
      <c r="AG9" s="215">
        <f t="shared" si="0"/>
        <v>0</v>
      </c>
      <c r="AH9" s="493"/>
    </row>
    <row r="10" spans="1:34" ht="28.9" thickBot="1">
      <c r="A10" s="146" t="s">
        <v>22</v>
      </c>
      <c r="B10" s="255">
        <v>15</v>
      </c>
      <c r="C10" s="246">
        <v>15</v>
      </c>
      <c r="D10" s="108">
        <v>0.5</v>
      </c>
      <c r="E10" s="107"/>
      <c r="F10" s="246"/>
      <c r="G10" s="246"/>
      <c r="H10" s="248">
        <v>15</v>
      </c>
      <c r="I10" s="376">
        <v>15</v>
      </c>
      <c r="J10" s="246">
        <v>0.5</v>
      </c>
      <c r="K10" s="107"/>
      <c r="L10" s="108"/>
      <c r="M10" s="247"/>
      <c r="N10" s="246">
        <v>15</v>
      </c>
      <c r="O10" s="246">
        <v>15</v>
      </c>
      <c r="P10" s="246">
        <v>0.5</v>
      </c>
      <c r="Q10" s="248"/>
      <c r="R10" s="108"/>
      <c r="S10" s="108"/>
      <c r="T10" s="248">
        <v>15</v>
      </c>
      <c r="U10" s="246">
        <v>15</v>
      </c>
      <c r="V10" s="246">
        <v>0.5</v>
      </c>
      <c r="W10" s="375">
        <v>5</v>
      </c>
      <c r="X10" s="246"/>
      <c r="Y10" s="108"/>
      <c r="Z10" s="107">
        <v>15</v>
      </c>
      <c r="AA10" s="247">
        <v>15</v>
      </c>
      <c r="AB10" s="246">
        <v>0.5</v>
      </c>
      <c r="AC10" s="248"/>
      <c r="AD10" s="248"/>
      <c r="AE10" s="248"/>
      <c r="AF10" s="107">
        <v>15</v>
      </c>
      <c r="AG10" s="496">
        <f t="shared" si="0"/>
        <v>172.5</v>
      </c>
      <c r="AH10" s="491">
        <f>SUM(AG10-AG61)</f>
        <v>7</v>
      </c>
    </row>
    <row r="11" spans="1:34" ht="28.9" thickBot="1">
      <c r="A11" s="368" t="s">
        <v>23</v>
      </c>
      <c r="B11" s="226">
        <v>1</v>
      </c>
      <c r="C11" s="227">
        <v>1</v>
      </c>
      <c r="D11" s="133"/>
      <c r="E11" s="135"/>
      <c r="F11" s="227"/>
      <c r="G11" s="227"/>
      <c r="H11" s="227">
        <v>1</v>
      </c>
      <c r="I11" s="373">
        <v>1</v>
      </c>
      <c r="J11" s="227"/>
      <c r="K11" s="134"/>
      <c r="L11" s="133"/>
      <c r="M11" s="229"/>
      <c r="N11" s="227">
        <v>1</v>
      </c>
      <c r="O11" s="227">
        <v>1</v>
      </c>
      <c r="P11" s="228"/>
      <c r="Q11" s="229"/>
      <c r="R11" s="133"/>
      <c r="S11" s="133"/>
      <c r="T11" s="229">
        <v>1</v>
      </c>
      <c r="U11" s="227">
        <v>1</v>
      </c>
      <c r="V11" s="229"/>
      <c r="W11" s="373"/>
      <c r="X11" s="229"/>
      <c r="Y11" s="133"/>
      <c r="Z11" s="134">
        <v>1</v>
      </c>
      <c r="AA11" s="230">
        <v>1</v>
      </c>
      <c r="AB11" s="227"/>
      <c r="AC11" s="229"/>
      <c r="AD11" s="227"/>
      <c r="AE11" s="227"/>
      <c r="AF11" s="133">
        <v>1</v>
      </c>
      <c r="AG11" s="497">
        <f t="shared" si="0"/>
        <v>11</v>
      </c>
      <c r="AH11" s="494"/>
    </row>
    <row r="12" spans="1:34" ht="28.9" hidden="1" thickBot="1">
      <c r="A12" s="146"/>
      <c r="B12" s="218"/>
      <c r="C12" s="219"/>
      <c r="D12" s="334"/>
      <c r="E12" s="341"/>
      <c r="F12" s="222"/>
      <c r="G12" s="219"/>
      <c r="H12" s="219"/>
      <c r="I12" s="371"/>
      <c r="J12" s="262"/>
      <c r="K12" s="337"/>
      <c r="L12" s="105"/>
      <c r="M12" s="256"/>
      <c r="N12" s="219"/>
      <c r="O12" s="219"/>
      <c r="P12" s="222"/>
      <c r="Q12" s="253"/>
      <c r="R12" s="105"/>
      <c r="S12" s="105"/>
      <c r="T12" s="253"/>
      <c r="U12" s="222"/>
      <c r="V12" s="222"/>
      <c r="W12" s="401"/>
      <c r="X12" s="222"/>
      <c r="Y12" s="105"/>
      <c r="Z12" s="111"/>
      <c r="AA12" s="256"/>
      <c r="AB12" s="222"/>
      <c r="AC12" s="253"/>
      <c r="AD12" s="253"/>
      <c r="AE12" s="253"/>
      <c r="AF12" s="111"/>
      <c r="AG12" s="215">
        <f t="shared" si="0"/>
        <v>0</v>
      </c>
      <c r="AH12" s="490"/>
    </row>
    <row r="13" spans="1:34" ht="28.9" hidden="1" thickBot="1">
      <c r="A13" s="146"/>
      <c r="B13" s="255"/>
      <c r="C13" s="246"/>
      <c r="D13" s="117"/>
      <c r="E13" s="116"/>
      <c r="F13" s="246"/>
      <c r="G13" s="246"/>
      <c r="H13" s="248"/>
      <c r="I13" s="376"/>
      <c r="J13" s="297"/>
      <c r="K13" s="116"/>
      <c r="L13" s="108"/>
      <c r="M13" s="247"/>
      <c r="N13" s="246"/>
      <c r="O13" s="246"/>
      <c r="P13" s="246"/>
      <c r="Q13" s="248"/>
      <c r="R13" s="108"/>
      <c r="S13" s="108"/>
      <c r="T13" s="248"/>
      <c r="U13" s="246"/>
      <c r="V13" s="246"/>
      <c r="W13" s="375"/>
      <c r="X13" s="246"/>
      <c r="Y13" s="108"/>
      <c r="Z13" s="107"/>
      <c r="AA13" s="247"/>
      <c r="AB13" s="246"/>
      <c r="AC13" s="248"/>
      <c r="AD13" s="248"/>
      <c r="AE13" s="248"/>
      <c r="AF13" s="107"/>
      <c r="AG13" s="496">
        <f t="shared" si="0"/>
        <v>0</v>
      </c>
      <c r="AH13" s="491">
        <f>SUM(AG13-AG58)</f>
        <v>0</v>
      </c>
    </row>
    <row r="14" spans="1:34" ht="28.9" hidden="1" thickBot="1">
      <c r="A14" s="368"/>
      <c r="B14" s="226"/>
      <c r="C14" s="227"/>
      <c r="D14" s="133"/>
      <c r="E14" s="135"/>
      <c r="F14" s="227"/>
      <c r="G14" s="227"/>
      <c r="H14" s="227"/>
      <c r="I14" s="373"/>
      <c r="J14" s="227"/>
      <c r="K14" s="134"/>
      <c r="L14" s="133"/>
      <c r="M14" s="229"/>
      <c r="N14" s="227"/>
      <c r="O14" s="227"/>
      <c r="P14" s="228"/>
      <c r="Q14" s="229"/>
      <c r="R14" s="133"/>
      <c r="S14" s="133"/>
      <c r="T14" s="229"/>
      <c r="U14" s="227"/>
      <c r="V14" s="229"/>
      <c r="W14" s="373"/>
      <c r="X14" s="229"/>
      <c r="Y14" s="133"/>
      <c r="Z14" s="134"/>
      <c r="AA14" s="230"/>
      <c r="AB14" s="227"/>
      <c r="AC14" s="229"/>
      <c r="AD14" s="227"/>
      <c r="AE14" s="227"/>
      <c r="AF14" s="133"/>
      <c r="AG14" s="497">
        <f t="shared" si="0"/>
        <v>0</v>
      </c>
      <c r="AH14" s="494"/>
    </row>
    <row r="15" spans="1:34" ht="28.9" thickBot="1">
      <c r="A15" s="146" t="s">
        <v>24</v>
      </c>
      <c r="B15" s="249"/>
      <c r="C15" s="251"/>
      <c r="D15" s="102"/>
      <c r="E15" s="108"/>
      <c r="F15" s="246" t="s">
        <v>18</v>
      </c>
      <c r="G15" s="251" t="s">
        <v>18</v>
      </c>
      <c r="H15" s="251"/>
      <c r="I15" s="399"/>
      <c r="J15" s="251"/>
      <c r="K15" s="102"/>
      <c r="L15" s="108" t="s">
        <v>18</v>
      </c>
      <c r="M15" s="247" t="s">
        <v>18</v>
      </c>
      <c r="N15" s="301"/>
      <c r="O15" s="251"/>
      <c r="P15" s="222"/>
      <c r="Q15" s="246"/>
      <c r="R15" s="113" t="s">
        <v>18</v>
      </c>
      <c r="S15" s="117" t="s">
        <v>18</v>
      </c>
      <c r="T15" s="262"/>
      <c r="U15" s="253"/>
      <c r="V15" s="222"/>
      <c r="W15" s="379"/>
      <c r="X15" s="253" t="s">
        <v>18</v>
      </c>
      <c r="Y15" s="105" t="s">
        <v>18</v>
      </c>
      <c r="Z15" s="334"/>
      <c r="AA15" s="254"/>
      <c r="AB15" s="222"/>
      <c r="AC15" s="248"/>
      <c r="AD15" s="248" t="s">
        <v>18</v>
      </c>
      <c r="AE15" s="248" t="s">
        <v>18</v>
      </c>
      <c r="AF15" s="107"/>
      <c r="AG15" s="215">
        <f t="shared" si="0"/>
        <v>0</v>
      </c>
      <c r="AH15" s="490"/>
    </row>
    <row r="16" spans="1:34" ht="28.9" thickBot="1">
      <c r="A16" s="146" t="s">
        <v>25</v>
      </c>
      <c r="B16" s="255"/>
      <c r="C16" s="248"/>
      <c r="D16" s="108"/>
      <c r="E16" s="108"/>
      <c r="F16" s="246">
        <v>15</v>
      </c>
      <c r="G16" s="246">
        <v>15</v>
      </c>
      <c r="H16" s="246">
        <v>0.5</v>
      </c>
      <c r="I16" s="375">
        <v>5</v>
      </c>
      <c r="J16" s="246"/>
      <c r="K16" s="108"/>
      <c r="L16" s="108">
        <v>15</v>
      </c>
      <c r="M16" s="247">
        <v>15</v>
      </c>
      <c r="N16" s="246">
        <v>0.5</v>
      </c>
      <c r="O16" s="248"/>
      <c r="P16" s="246"/>
      <c r="Q16" s="246"/>
      <c r="R16" s="113">
        <v>15</v>
      </c>
      <c r="S16" s="108">
        <v>15</v>
      </c>
      <c r="T16" s="246">
        <v>0.5</v>
      </c>
      <c r="U16" s="248"/>
      <c r="V16" s="246"/>
      <c r="W16" s="376">
        <v>5</v>
      </c>
      <c r="X16" s="246">
        <v>15</v>
      </c>
      <c r="Y16" s="108">
        <v>15</v>
      </c>
      <c r="Z16" s="650">
        <v>0.5</v>
      </c>
      <c r="AA16" s="252"/>
      <c r="AB16" s="246"/>
      <c r="AC16" s="248"/>
      <c r="AD16" s="248">
        <v>15</v>
      </c>
      <c r="AE16" s="248">
        <v>15</v>
      </c>
      <c r="AF16" s="107">
        <v>0.5</v>
      </c>
      <c r="AG16" s="496">
        <f t="shared" si="0"/>
        <v>162.5</v>
      </c>
      <c r="AH16" s="491">
        <f>SUM(AG16-AG61)</f>
        <v>-3</v>
      </c>
    </row>
    <row r="17" spans="1:34" ht="28.9" thickBot="1">
      <c r="A17" s="368" t="s">
        <v>23</v>
      </c>
      <c r="B17" s="303"/>
      <c r="C17" s="304"/>
      <c r="D17" s="177"/>
      <c r="E17" s="178"/>
      <c r="F17" s="304">
        <v>1</v>
      </c>
      <c r="G17" s="304">
        <v>1</v>
      </c>
      <c r="H17" s="304"/>
      <c r="I17" s="398"/>
      <c r="J17" s="304"/>
      <c r="K17" s="179"/>
      <c r="L17" s="177">
        <v>1</v>
      </c>
      <c r="M17" s="306">
        <v>1</v>
      </c>
      <c r="N17" s="304"/>
      <c r="O17" s="306"/>
      <c r="P17" s="304"/>
      <c r="Q17" s="306"/>
      <c r="R17" s="177">
        <v>1</v>
      </c>
      <c r="S17" s="177">
        <v>1</v>
      </c>
      <c r="T17" s="306"/>
      <c r="U17" s="304"/>
      <c r="V17" s="306"/>
      <c r="W17" s="398"/>
      <c r="X17" s="306">
        <v>1</v>
      </c>
      <c r="Y17" s="177">
        <v>1</v>
      </c>
      <c r="Z17" s="177"/>
      <c r="AA17" s="307"/>
      <c r="AB17" s="304"/>
      <c r="AC17" s="306"/>
      <c r="AD17" s="304">
        <v>1</v>
      </c>
      <c r="AE17" s="304">
        <v>1</v>
      </c>
      <c r="AF17" s="177"/>
      <c r="AG17" s="497">
        <f t="shared" si="0"/>
        <v>10</v>
      </c>
      <c r="AH17" s="494"/>
    </row>
    <row r="18" spans="1:34" ht="28.9" thickBot="1">
      <c r="A18" s="173" t="s">
        <v>26</v>
      </c>
      <c r="B18" s="218"/>
      <c r="C18" s="219"/>
      <c r="D18" s="114" t="s">
        <v>18</v>
      </c>
      <c r="E18" s="130" t="s">
        <v>18</v>
      </c>
      <c r="F18" s="219"/>
      <c r="G18" s="219"/>
      <c r="H18" s="219"/>
      <c r="I18" s="371"/>
      <c r="J18" s="219" t="s">
        <v>18</v>
      </c>
      <c r="K18" s="105" t="s">
        <v>18</v>
      </c>
      <c r="L18" s="105"/>
      <c r="M18" s="256"/>
      <c r="N18" s="222"/>
      <c r="O18" s="222"/>
      <c r="P18" s="463">
        <v>2</v>
      </c>
      <c r="Q18" s="462">
        <v>2</v>
      </c>
      <c r="R18" s="604"/>
      <c r="S18" s="617"/>
      <c r="T18" s="677"/>
      <c r="U18" s="617"/>
      <c r="V18" s="219" t="s">
        <v>18</v>
      </c>
      <c r="W18" s="413" t="s">
        <v>18</v>
      </c>
      <c r="X18" s="296"/>
      <c r="Y18" s="114"/>
      <c r="Z18" s="118"/>
      <c r="AA18" s="219"/>
      <c r="AB18" s="219" t="s">
        <v>18</v>
      </c>
      <c r="AC18" s="296" t="s">
        <v>18</v>
      </c>
      <c r="AD18" s="219"/>
      <c r="AE18" s="295"/>
      <c r="AF18" s="130"/>
      <c r="AG18" s="215">
        <f t="shared" si="0"/>
        <v>4</v>
      </c>
      <c r="AH18" s="490"/>
    </row>
    <row r="19" spans="1:34" ht="28.9" thickBot="1">
      <c r="A19" s="146" t="s">
        <v>27</v>
      </c>
      <c r="B19" s="223"/>
      <c r="C19" s="224"/>
      <c r="D19" s="103">
        <v>15</v>
      </c>
      <c r="E19" s="115">
        <v>15</v>
      </c>
      <c r="F19" s="224">
        <v>0.5</v>
      </c>
      <c r="G19" s="224"/>
      <c r="H19" s="224"/>
      <c r="I19" s="372">
        <v>5</v>
      </c>
      <c r="J19" s="224">
        <v>15</v>
      </c>
      <c r="K19" s="103">
        <v>15</v>
      </c>
      <c r="L19" s="103">
        <v>0.5</v>
      </c>
      <c r="M19" s="224"/>
      <c r="N19" s="224"/>
      <c r="O19" s="224"/>
      <c r="P19" s="619">
        <v>15</v>
      </c>
      <c r="Q19" s="619">
        <v>15</v>
      </c>
      <c r="R19" s="619" t="s">
        <v>32</v>
      </c>
      <c r="S19" s="619"/>
      <c r="T19" s="619"/>
      <c r="U19" s="619"/>
      <c r="V19" s="224">
        <v>15</v>
      </c>
      <c r="W19" s="372">
        <v>15</v>
      </c>
      <c r="X19" s="224">
        <v>0.5</v>
      </c>
      <c r="Y19" s="103"/>
      <c r="Z19" s="103"/>
      <c r="AA19" s="224"/>
      <c r="AB19" s="224">
        <v>15</v>
      </c>
      <c r="AC19" s="224">
        <v>15</v>
      </c>
      <c r="AD19" s="224">
        <v>0.5</v>
      </c>
      <c r="AE19" s="224"/>
      <c r="AF19" s="115"/>
      <c r="AG19" s="496">
        <f t="shared" si="0"/>
        <v>157</v>
      </c>
      <c r="AH19" s="491">
        <f>SUM(AG19-AG61)</f>
        <v>-8.5</v>
      </c>
    </row>
    <row r="20" spans="1:34" ht="25.9" customHeight="1" thickBot="1">
      <c r="A20" s="187" t="s">
        <v>28</v>
      </c>
      <c r="B20" s="226"/>
      <c r="C20" s="227"/>
      <c r="D20" s="133">
        <v>1</v>
      </c>
      <c r="E20" s="135">
        <v>1</v>
      </c>
      <c r="F20" s="227"/>
      <c r="G20" s="227"/>
      <c r="H20" s="227"/>
      <c r="I20" s="373"/>
      <c r="J20" s="227">
        <v>1</v>
      </c>
      <c r="K20" s="134">
        <v>1</v>
      </c>
      <c r="L20" s="133"/>
      <c r="M20" s="229"/>
      <c r="N20" s="227"/>
      <c r="O20" s="229"/>
      <c r="P20" s="453"/>
      <c r="Q20" s="472"/>
      <c r="R20" s="453"/>
      <c r="S20" s="453"/>
      <c r="T20" s="472"/>
      <c r="U20" s="453"/>
      <c r="V20" s="227">
        <v>1</v>
      </c>
      <c r="W20" s="405">
        <v>1</v>
      </c>
      <c r="X20" s="229"/>
      <c r="Y20" s="133"/>
      <c r="Z20" s="134"/>
      <c r="AA20" s="227"/>
      <c r="AB20" s="227">
        <v>1</v>
      </c>
      <c r="AC20" s="229">
        <v>1</v>
      </c>
      <c r="AD20" s="227"/>
      <c r="AE20" s="228"/>
      <c r="AF20" s="135"/>
      <c r="AG20" s="497">
        <f t="shared" si="0"/>
        <v>8</v>
      </c>
      <c r="AH20" s="494"/>
    </row>
    <row r="21" spans="1:34" ht="28.9" thickBot="1">
      <c r="A21" s="146" t="s">
        <v>29</v>
      </c>
      <c r="B21" s="249"/>
      <c r="C21" s="251" t="s">
        <v>18</v>
      </c>
      <c r="D21" s="102" t="s">
        <v>18</v>
      </c>
      <c r="E21" s="105"/>
      <c r="F21" s="253"/>
      <c r="G21" s="251"/>
      <c r="H21" s="251"/>
      <c r="I21" s="399" t="s">
        <v>18</v>
      </c>
      <c r="J21" s="251" t="s">
        <v>18</v>
      </c>
      <c r="K21" s="102"/>
      <c r="L21" s="111"/>
      <c r="M21" s="256"/>
      <c r="N21" s="251"/>
      <c r="O21" s="251" t="s">
        <v>18</v>
      </c>
      <c r="P21" s="222" t="s">
        <v>18</v>
      </c>
      <c r="Q21" s="222"/>
      <c r="R21" s="111"/>
      <c r="S21" s="105"/>
      <c r="T21" s="222"/>
      <c r="U21" s="222" t="s">
        <v>18</v>
      </c>
      <c r="V21" s="222" t="s">
        <v>18</v>
      </c>
      <c r="W21" s="379"/>
      <c r="X21" s="253"/>
      <c r="Y21" s="105"/>
      <c r="Z21" s="106"/>
      <c r="AA21" s="256" t="s">
        <v>18</v>
      </c>
      <c r="AB21" s="222" t="s">
        <v>18</v>
      </c>
      <c r="AC21" s="222"/>
      <c r="AD21" s="222"/>
      <c r="AE21" s="253"/>
      <c r="AF21" s="111"/>
      <c r="AG21" s="215">
        <f t="shared" si="0"/>
        <v>0</v>
      </c>
      <c r="AH21" s="490"/>
    </row>
    <row r="22" spans="1:34" ht="28.9" thickBot="1">
      <c r="A22" s="146" t="s">
        <v>30</v>
      </c>
      <c r="B22" s="255"/>
      <c r="C22" s="246">
        <v>15</v>
      </c>
      <c r="D22" s="108">
        <v>15</v>
      </c>
      <c r="E22" s="108">
        <v>0.5</v>
      </c>
      <c r="F22" s="248"/>
      <c r="G22" s="246"/>
      <c r="H22" s="246"/>
      <c r="I22" s="375">
        <v>15</v>
      </c>
      <c r="J22" s="246">
        <v>15</v>
      </c>
      <c r="K22" s="108">
        <v>0.5</v>
      </c>
      <c r="L22" s="107"/>
      <c r="M22" s="247"/>
      <c r="N22" s="246"/>
      <c r="O22" s="248">
        <v>15</v>
      </c>
      <c r="P22" s="246">
        <v>15</v>
      </c>
      <c r="Q22" s="246">
        <v>0.5</v>
      </c>
      <c r="R22" s="107"/>
      <c r="S22" s="108"/>
      <c r="T22" s="246"/>
      <c r="U22" s="246">
        <v>15</v>
      </c>
      <c r="V22" s="246">
        <v>15</v>
      </c>
      <c r="W22" s="376">
        <v>4.5</v>
      </c>
      <c r="X22" s="248"/>
      <c r="Y22" s="108"/>
      <c r="Z22" s="109"/>
      <c r="AA22" s="247">
        <v>15</v>
      </c>
      <c r="AB22" s="246">
        <v>15</v>
      </c>
      <c r="AC22" s="246">
        <v>0.5</v>
      </c>
      <c r="AD22" s="246"/>
      <c r="AE22" s="248"/>
      <c r="AF22" s="107"/>
      <c r="AG22" s="496">
        <f t="shared" si="0"/>
        <v>156.5</v>
      </c>
      <c r="AH22" s="491">
        <f>SUM(AG22-AG61)</f>
        <v>-9</v>
      </c>
    </row>
    <row r="23" spans="1:34" ht="25.9" customHeight="1" thickBot="1">
      <c r="A23" s="368" t="s">
        <v>28</v>
      </c>
      <c r="B23" s="226"/>
      <c r="C23" s="227">
        <v>1</v>
      </c>
      <c r="D23" s="133">
        <v>1</v>
      </c>
      <c r="E23" s="133"/>
      <c r="F23" s="227"/>
      <c r="G23" s="227"/>
      <c r="H23" s="227"/>
      <c r="I23" s="373">
        <v>1</v>
      </c>
      <c r="J23" s="227">
        <v>1</v>
      </c>
      <c r="K23" s="133"/>
      <c r="L23" s="133"/>
      <c r="M23" s="230"/>
      <c r="N23" s="227"/>
      <c r="O23" s="227">
        <v>1</v>
      </c>
      <c r="P23" s="227">
        <v>1</v>
      </c>
      <c r="Q23" s="229"/>
      <c r="R23" s="133"/>
      <c r="S23" s="133"/>
      <c r="T23" s="227"/>
      <c r="U23" s="227">
        <v>1</v>
      </c>
      <c r="V23" s="227">
        <v>1</v>
      </c>
      <c r="W23" s="373"/>
      <c r="X23" s="229"/>
      <c r="Y23" s="133"/>
      <c r="Z23" s="133"/>
      <c r="AA23" s="230">
        <v>1</v>
      </c>
      <c r="AB23" s="227">
        <v>1</v>
      </c>
      <c r="AC23" s="227"/>
      <c r="AD23" s="227"/>
      <c r="AE23" s="227"/>
      <c r="AF23" s="133"/>
      <c r="AG23" s="497">
        <f t="shared" si="0"/>
        <v>10</v>
      </c>
      <c r="AH23" s="494"/>
    </row>
    <row r="24" spans="1:34" ht="29.45" hidden="1" thickBot="1">
      <c r="A24" s="146"/>
      <c r="B24" s="266"/>
      <c r="C24" s="222"/>
      <c r="D24" s="105"/>
      <c r="E24" s="111"/>
      <c r="F24" s="222"/>
      <c r="G24" s="222"/>
      <c r="H24" s="222"/>
      <c r="I24" s="379"/>
      <c r="J24" s="222"/>
      <c r="K24" s="105"/>
      <c r="L24" s="105"/>
      <c r="M24" s="256"/>
      <c r="N24" s="222"/>
      <c r="O24" s="254"/>
      <c r="P24" s="222"/>
      <c r="Q24" s="254"/>
      <c r="R24" s="105"/>
      <c r="S24" s="105"/>
      <c r="T24" s="254"/>
      <c r="U24" s="222"/>
      <c r="V24" s="254"/>
      <c r="W24" s="379"/>
      <c r="X24" s="254"/>
      <c r="Y24" s="105"/>
      <c r="Z24" s="105"/>
      <c r="AA24" s="256"/>
      <c r="AB24" s="309"/>
      <c r="AC24" s="222"/>
      <c r="AD24" s="222"/>
      <c r="AE24" s="222"/>
      <c r="AF24" s="105"/>
      <c r="AG24" s="215">
        <f t="shared" si="0"/>
        <v>0</v>
      </c>
      <c r="AH24" s="490"/>
    </row>
    <row r="25" spans="1:34" ht="28.9" hidden="1" thickBot="1">
      <c r="A25" s="146"/>
      <c r="B25" s="223"/>
      <c r="C25" s="224"/>
      <c r="D25" s="103"/>
      <c r="E25" s="108"/>
      <c r="F25" s="246"/>
      <c r="G25" s="224"/>
      <c r="H25" s="224"/>
      <c r="I25" s="372"/>
      <c r="J25" s="224"/>
      <c r="K25" s="145"/>
      <c r="L25" s="108"/>
      <c r="M25" s="247"/>
      <c r="N25" s="224"/>
      <c r="O25" s="224"/>
      <c r="P25" s="224"/>
      <c r="Q25" s="224"/>
      <c r="R25" s="145"/>
      <c r="S25" s="108"/>
      <c r="T25" s="246"/>
      <c r="U25" s="224"/>
      <c r="V25" s="224"/>
      <c r="W25" s="414"/>
      <c r="X25" s="257"/>
      <c r="Y25" s="103"/>
      <c r="Z25" s="108"/>
      <c r="AA25" s="247"/>
      <c r="AB25" s="224"/>
      <c r="AC25" s="257"/>
      <c r="AD25" s="224"/>
      <c r="AE25" s="294"/>
      <c r="AF25" s="115"/>
      <c r="AG25" s="496">
        <f t="shared" si="0"/>
        <v>0</v>
      </c>
      <c r="AH25" s="491">
        <f>SUM(AG25-AG61)</f>
        <v>-165.5</v>
      </c>
    </row>
    <row r="26" spans="1:34" ht="28.9" hidden="1" thickBot="1">
      <c r="A26" s="368"/>
      <c r="B26" s="303"/>
      <c r="C26" s="304"/>
      <c r="D26" s="177"/>
      <c r="E26" s="178"/>
      <c r="F26" s="304"/>
      <c r="G26" s="304"/>
      <c r="H26" s="304"/>
      <c r="I26" s="398"/>
      <c r="J26" s="304"/>
      <c r="K26" s="177"/>
      <c r="L26" s="177"/>
      <c r="M26" s="307"/>
      <c r="N26" s="304"/>
      <c r="O26" s="304"/>
      <c r="P26" s="304"/>
      <c r="Q26" s="304"/>
      <c r="R26" s="177"/>
      <c r="S26" s="177"/>
      <c r="T26" s="305"/>
      <c r="U26" s="304"/>
      <c r="V26" s="304"/>
      <c r="W26" s="435"/>
      <c r="X26" s="304"/>
      <c r="Y26" s="177"/>
      <c r="Z26" s="177"/>
      <c r="AA26" s="307"/>
      <c r="AB26" s="304"/>
      <c r="AC26" s="304"/>
      <c r="AD26" s="304"/>
      <c r="AE26" s="306"/>
      <c r="AF26" s="177"/>
      <c r="AG26" s="497">
        <f t="shared" si="0"/>
        <v>0</v>
      </c>
      <c r="AH26" s="494"/>
    </row>
    <row r="27" spans="1:34" ht="28.9" thickBot="1">
      <c r="A27" s="465" t="s">
        <v>31</v>
      </c>
      <c r="B27" s="246" t="s">
        <v>18</v>
      </c>
      <c r="C27" s="251"/>
      <c r="D27" s="102"/>
      <c r="E27" s="108"/>
      <c r="F27" s="246"/>
      <c r="G27" s="246" t="s">
        <v>18</v>
      </c>
      <c r="H27" s="246" t="s">
        <v>18</v>
      </c>
      <c r="I27" s="399"/>
      <c r="J27" s="251"/>
      <c r="K27" s="108"/>
      <c r="L27" s="107"/>
      <c r="M27" s="247" t="s">
        <v>18</v>
      </c>
      <c r="N27" s="246" t="s">
        <v>18</v>
      </c>
      <c r="O27" s="251"/>
      <c r="P27" s="251"/>
      <c r="Q27" s="252"/>
      <c r="R27" s="108"/>
      <c r="S27" s="108" t="s">
        <v>18</v>
      </c>
      <c r="T27" s="246" t="s">
        <v>18</v>
      </c>
      <c r="U27" s="251"/>
      <c r="V27" s="251"/>
      <c r="W27" s="372"/>
      <c r="X27" s="248"/>
      <c r="Y27" s="108" t="s">
        <v>18</v>
      </c>
      <c r="Z27" s="108" t="s">
        <v>18</v>
      </c>
      <c r="AA27" s="251"/>
      <c r="AB27" s="251"/>
      <c r="AC27" s="246"/>
      <c r="AD27" s="246"/>
      <c r="AE27" s="248" t="s">
        <v>18</v>
      </c>
      <c r="AF27" s="108" t="s">
        <v>18</v>
      </c>
      <c r="AG27" s="215">
        <f t="shared" si="0"/>
        <v>0</v>
      </c>
      <c r="AH27" s="490"/>
    </row>
    <row r="28" spans="1:34" ht="28.9" thickBot="1">
      <c r="A28" s="146" t="s">
        <v>33</v>
      </c>
      <c r="B28" s="246">
        <v>15</v>
      </c>
      <c r="C28" s="246">
        <v>0.5</v>
      </c>
      <c r="D28" s="108"/>
      <c r="E28" s="107"/>
      <c r="F28" s="246"/>
      <c r="G28" s="246">
        <v>15</v>
      </c>
      <c r="H28" s="246">
        <v>15</v>
      </c>
      <c r="I28" s="376">
        <v>4.5</v>
      </c>
      <c r="J28" s="246"/>
      <c r="K28" s="108"/>
      <c r="L28" s="108"/>
      <c r="M28" s="247">
        <v>15</v>
      </c>
      <c r="N28" s="246">
        <v>15</v>
      </c>
      <c r="O28" s="246">
        <v>0.5</v>
      </c>
      <c r="P28" s="246"/>
      <c r="Q28" s="246"/>
      <c r="R28" s="108"/>
      <c r="S28" s="108">
        <v>15</v>
      </c>
      <c r="T28" s="246">
        <v>15</v>
      </c>
      <c r="U28" s="246">
        <v>0.5</v>
      </c>
      <c r="V28" s="246"/>
      <c r="W28" s="375">
        <v>4</v>
      </c>
      <c r="X28" s="246"/>
      <c r="Y28" s="108">
        <v>15</v>
      </c>
      <c r="Z28" s="108">
        <v>15</v>
      </c>
      <c r="AA28" s="246">
        <v>0.5</v>
      </c>
      <c r="AB28" s="246"/>
      <c r="AC28" s="224"/>
      <c r="AD28" s="246"/>
      <c r="AE28" s="248">
        <v>15</v>
      </c>
      <c r="AF28" s="108">
        <v>15</v>
      </c>
      <c r="AG28" s="496">
        <f t="shared" si="0"/>
        <v>175.5</v>
      </c>
      <c r="AH28" s="491">
        <f>SUM(AG28-AG61)</f>
        <v>10</v>
      </c>
    </row>
    <row r="29" spans="1:34" ht="28.9" thickBot="1">
      <c r="A29" s="188" t="s">
        <v>34</v>
      </c>
      <c r="B29" s="304">
        <v>1</v>
      </c>
      <c r="C29" s="304"/>
      <c r="D29" s="177"/>
      <c r="E29" s="135"/>
      <c r="F29" s="227"/>
      <c r="G29" s="227">
        <v>1</v>
      </c>
      <c r="H29" s="304">
        <v>1</v>
      </c>
      <c r="I29" s="398"/>
      <c r="J29" s="304"/>
      <c r="K29" s="133"/>
      <c r="L29" s="135"/>
      <c r="M29" s="229">
        <v>1</v>
      </c>
      <c r="N29" s="304">
        <v>1</v>
      </c>
      <c r="O29" s="304"/>
      <c r="P29" s="304"/>
      <c r="Q29" s="229"/>
      <c r="R29" s="133"/>
      <c r="S29" s="133">
        <v>1</v>
      </c>
      <c r="T29" s="304">
        <v>1</v>
      </c>
      <c r="U29" s="304"/>
      <c r="V29" s="304"/>
      <c r="W29" s="373"/>
      <c r="X29" s="227"/>
      <c r="Y29" s="133">
        <v>1</v>
      </c>
      <c r="Z29" s="177">
        <v>1</v>
      </c>
      <c r="AA29" s="304"/>
      <c r="AB29" s="304"/>
      <c r="AC29" s="227"/>
      <c r="AD29" s="227"/>
      <c r="AE29" s="228">
        <v>1</v>
      </c>
      <c r="AF29" s="177">
        <v>1</v>
      </c>
      <c r="AG29" s="497">
        <f t="shared" si="0"/>
        <v>11</v>
      </c>
      <c r="AH29" s="494"/>
    </row>
    <row r="30" spans="1:34" ht="28.9" thickBot="1">
      <c r="A30" s="173" t="s">
        <v>74</v>
      </c>
      <c r="B30" s="218"/>
      <c r="C30" s="219"/>
      <c r="D30" s="114"/>
      <c r="E30" s="130" t="s">
        <v>18</v>
      </c>
      <c r="F30" s="219" t="s">
        <v>18</v>
      </c>
      <c r="G30" s="219"/>
      <c r="H30" s="219"/>
      <c r="I30" s="371"/>
      <c r="J30" s="219"/>
      <c r="K30" s="105" t="s">
        <v>18</v>
      </c>
      <c r="L30" s="114" t="s">
        <v>18</v>
      </c>
      <c r="M30" s="256"/>
      <c r="N30" s="222"/>
      <c r="O30" s="222"/>
      <c r="P30" s="253"/>
      <c r="Q30" s="222" t="s">
        <v>18</v>
      </c>
      <c r="R30" s="114" t="s">
        <v>18</v>
      </c>
      <c r="S30" s="114"/>
      <c r="T30" s="296"/>
      <c r="U30" s="219"/>
      <c r="V30" s="219"/>
      <c r="W30" s="413" t="s">
        <v>18</v>
      </c>
      <c r="X30" s="219" t="s">
        <v>18</v>
      </c>
      <c r="Y30" s="114"/>
      <c r="Z30" s="118"/>
      <c r="AA30" s="219"/>
      <c r="AB30" s="219"/>
      <c r="AC30" s="296" t="s">
        <v>18</v>
      </c>
      <c r="AD30" s="219" t="s">
        <v>18</v>
      </c>
      <c r="AE30" s="295"/>
      <c r="AF30" s="130"/>
      <c r="AG30" s="215">
        <f t="shared" si="0"/>
        <v>0</v>
      </c>
      <c r="AH30" s="490"/>
    </row>
    <row r="31" spans="1:34" ht="28.9" thickBot="1">
      <c r="A31" s="146" t="s">
        <v>36</v>
      </c>
      <c r="B31" s="223"/>
      <c r="C31" s="224"/>
      <c r="D31" s="103"/>
      <c r="E31" s="115">
        <v>15</v>
      </c>
      <c r="F31" s="224">
        <v>15</v>
      </c>
      <c r="G31" s="246">
        <v>0.5</v>
      </c>
      <c r="H31" s="224"/>
      <c r="I31" s="372">
        <v>4</v>
      </c>
      <c r="J31" s="224"/>
      <c r="K31" s="103">
        <v>15</v>
      </c>
      <c r="L31" s="103">
        <v>15</v>
      </c>
      <c r="M31" s="246">
        <v>0.5</v>
      </c>
      <c r="N31" s="224"/>
      <c r="O31" s="224"/>
      <c r="P31" s="224"/>
      <c r="Q31" s="224">
        <v>15</v>
      </c>
      <c r="R31" s="103">
        <v>15</v>
      </c>
      <c r="S31" s="108">
        <v>0.5</v>
      </c>
      <c r="T31" s="224"/>
      <c r="U31" s="224"/>
      <c r="V31" s="224"/>
      <c r="W31" s="372">
        <v>15</v>
      </c>
      <c r="X31" s="224">
        <v>15</v>
      </c>
      <c r="Y31" s="108">
        <v>0.5</v>
      </c>
      <c r="Z31" s="103"/>
      <c r="AA31" s="224"/>
      <c r="AB31" s="224"/>
      <c r="AC31" s="224">
        <v>15</v>
      </c>
      <c r="AD31" s="224">
        <v>15</v>
      </c>
      <c r="AE31" s="246">
        <v>0.5</v>
      </c>
      <c r="AF31" s="115"/>
      <c r="AG31" s="496">
        <f t="shared" si="0"/>
        <v>156.5</v>
      </c>
      <c r="AH31" s="491">
        <f>SUM(AG31-AG61)</f>
        <v>-9</v>
      </c>
    </row>
    <row r="32" spans="1:34" ht="25.9" customHeight="1" thickBot="1">
      <c r="A32" s="187" t="s">
        <v>34</v>
      </c>
      <c r="B32" s="226"/>
      <c r="C32" s="227"/>
      <c r="D32" s="133"/>
      <c r="E32" s="135">
        <v>1</v>
      </c>
      <c r="F32" s="227">
        <v>1</v>
      </c>
      <c r="G32" s="227"/>
      <c r="H32" s="227"/>
      <c r="I32" s="373"/>
      <c r="J32" s="227"/>
      <c r="K32" s="134">
        <v>1</v>
      </c>
      <c r="L32" s="133">
        <v>1</v>
      </c>
      <c r="M32" s="229"/>
      <c r="N32" s="227"/>
      <c r="O32" s="229"/>
      <c r="P32" s="227"/>
      <c r="Q32" s="229">
        <v>1</v>
      </c>
      <c r="R32" s="133">
        <v>1</v>
      </c>
      <c r="S32" s="133"/>
      <c r="T32" s="229"/>
      <c r="U32" s="227"/>
      <c r="V32" s="227"/>
      <c r="W32" s="405">
        <v>1</v>
      </c>
      <c r="X32" s="227">
        <v>1</v>
      </c>
      <c r="Y32" s="133"/>
      <c r="Z32" s="134"/>
      <c r="AA32" s="227"/>
      <c r="AB32" s="227"/>
      <c r="AC32" s="229">
        <v>1</v>
      </c>
      <c r="AD32" s="227">
        <v>1</v>
      </c>
      <c r="AE32" s="228"/>
      <c r="AF32" s="135"/>
      <c r="AG32" s="320">
        <f t="shared" si="0"/>
        <v>10</v>
      </c>
      <c r="AH32" s="492"/>
    </row>
    <row r="33" spans="1:35" ht="28.9" thickBot="1">
      <c r="A33" s="173" t="s">
        <v>37</v>
      </c>
      <c r="B33" s="249"/>
      <c r="C33" s="251"/>
      <c r="D33" s="102"/>
      <c r="E33" s="105"/>
      <c r="F33" s="253"/>
      <c r="G33" s="251"/>
      <c r="H33" s="251"/>
      <c r="I33" s="251"/>
      <c r="J33" s="251"/>
      <c r="K33" s="102"/>
      <c r="L33" s="111"/>
      <c r="M33" s="256"/>
      <c r="N33" s="251"/>
      <c r="O33" s="251"/>
      <c r="P33" s="222"/>
      <c r="Q33" s="222"/>
      <c r="R33" s="111"/>
      <c r="S33" s="105"/>
      <c r="T33" s="222"/>
      <c r="U33" s="222"/>
      <c r="V33" s="222"/>
      <c r="W33" s="222"/>
      <c r="X33" s="253"/>
      <c r="Y33" s="105"/>
      <c r="Z33" s="106"/>
      <c r="AA33" s="256"/>
      <c r="AB33" s="222"/>
      <c r="AC33" s="222"/>
      <c r="AD33" s="222"/>
      <c r="AE33" s="253"/>
      <c r="AF33" s="111"/>
      <c r="AG33" s="215">
        <v>0</v>
      </c>
      <c r="AH33" s="488"/>
    </row>
    <row r="34" spans="1:35" ht="28.9" thickBot="1">
      <c r="A34" s="146" t="s">
        <v>38</v>
      </c>
      <c r="B34" s="255"/>
      <c r="C34" s="246"/>
      <c r="D34" s="108"/>
      <c r="E34" s="108"/>
      <c r="F34" s="248"/>
      <c r="G34" s="246"/>
      <c r="H34" s="246"/>
      <c r="I34" s="248"/>
      <c r="J34" s="246"/>
      <c r="K34" s="108"/>
      <c r="L34" s="107"/>
      <c r="M34" s="247"/>
      <c r="N34" s="246"/>
      <c r="O34" s="248"/>
      <c r="P34" s="246"/>
      <c r="Q34" s="246"/>
      <c r="R34" s="107"/>
      <c r="S34" s="108"/>
      <c r="T34" s="246"/>
      <c r="U34" s="246"/>
      <c r="V34" s="246"/>
      <c r="W34" s="246"/>
      <c r="X34" s="248"/>
      <c r="Y34" s="108"/>
      <c r="Z34" s="109"/>
      <c r="AA34" s="247"/>
      <c r="AB34" s="246"/>
      <c r="AC34" s="246"/>
      <c r="AD34" s="246"/>
      <c r="AE34" s="248"/>
      <c r="AF34" s="107"/>
      <c r="AG34" s="496">
        <f>SUM(B34:AF34)</f>
        <v>0</v>
      </c>
      <c r="AH34" s="495"/>
    </row>
    <row r="35" spans="1:35" ht="28.9" thickBot="1">
      <c r="A35" s="187" t="s">
        <v>39</v>
      </c>
      <c r="B35" s="226"/>
      <c r="C35" s="227"/>
      <c r="D35" s="133"/>
      <c r="E35" s="133"/>
      <c r="F35" s="227"/>
      <c r="G35" s="227"/>
      <c r="H35" s="227"/>
      <c r="I35" s="227"/>
      <c r="J35" s="227"/>
      <c r="K35" s="133"/>
      <c r="L35" s="133"/>
      <c r="M35" s="230"/>
      <c r="N35" s="227"/>
      <c r="O35" s="227"/>
      <c r="P35" s="227"/>
      <c r="Q35" s="229"/>
      <c r="R35" s="133"/>
      <c r="S35" s="133"/>
      <c r="T35" s="227"/>
      <c r="U35" s="227"/>
      <c r="V35" s="227"/>
      <c r="W35" s="227"/>
      <c r="X35" s="229"/>
      <c r="Y35" s="133"/>
      <c r="Z35" s="133"/>
      <c r="AA35" s="230"/>
      <c r="AB35" s="227"/>
      <c r="AC35" s="227"/>
      <c r="AD35" s="227"/>
      <c r="AE35" s="227"/>
      <c r="AF35" s="133"/>
      <c r="AG35" s="497">
        <f>SUM(B35:AF35)</f>
        <v>0</v>
      </c>
      <c r="AH35" s="489"/>
    </row>
    <row r="36" spans="1:35" ht="28.9" thickBot="1">
      <c r="A36" s="465"/>
      <c r="B36" s="249"/>
      <c r="C36" s="251"/>
      <c r="D36" s="102"/>
      <c r="E36" s="105"/>
      <c r="F36" s="253"/>
      <c r="G36" s="251"/>
      <c r="H36" s="251"/>
      <c r="I36" s="251"/>
      <c r="J36" s="251"/>
      <c r="K36" s="102"/>
      <c r="L36" s="111"/>
      <c r="M36" s="256"/>
      <c r="N36" s="251"/>
      <c r="O36" s="251"/>
      <c r="P36" s="222"/>
      <c r="Q36" s="222"/>
      <c r="R36" s="111"/>
      <c r="S36" s="105"/>
      <c r="T36" s="222"/>
      <c r="U36" s="222"/>
      <c r="V36" s="222"/>
      <c r="W36" s="222"/>
      <c r="X36" s="253"/>
      <c r="Y36" s="105"/>
      <c r="Z36" s="106"/>
      <c r="AA36" s="256"/>
      <c r="AB36" s="222"/>
      <c r="AC36" s="222"/>
      <c r="AD36" s="222"/>
      <c r="AE36" s="253"/>
      <c r="AF36" s="111"/>
      <c r="AG36" s="215">
        <v>0</v>
      </c>
      <c r="AH36" s="488"/>
    </row>
    <row r="37" spans="1:35" ht="28.9" thickBot="1">
      <c r="A37" s="146"/>
      <c r="B37" s="255"/>
      <c r="C37" s="246"/>
      <c r="D37" s="108"/>
      <c r="E37" s="108"/>
      <c r="F37" s="248"/>
      <c r="G37" s="246"/>
      <c r="H37" s="246"/>
      <c r="I37" s="248"/>
      <c r="J37" s="246"/>
      <c r="K37" s="108"/>
      <c r="L37" s="107"/>
      <c r="M37" s="247"/>
      <c r="N37" s="246"/>
      <c r="O37" s="248"/>
      <c r="P37" s="246"/>
      <c r="Q37" s="246"/>
      <c r="R37" s="107"/>
      <c r="S37" s="108"/>
      <c r="T37" s="246"/>
      <c r="U37" s="246"/>
      <c r="V37" s="246"/>
      <c r="W37" s="246"/>
      <c r="X37" s="248"/>
      <c r="Y37" s="108"/>
      <c r="Z37" s="109"/>
      <c r="AA37" s="247"/>
      <c r="AB37" s="246"/>
      <c r="AC37" s="246"/>
      <c r="AD37" s="246"/>
      <c r="AE37" s="248"/>
      <c r="AF37" s="107"/>
      <c r="AG37" s="496">
        <f>SUM(B37:AF37)</f>
        <v>0</v>
      </c>
      <c r="AH37" s="495"/>
    </row>
    <row r="38" spans="1:35" ht="28.9" thickBot="1">
      <c r="A38" s="188"/>
      <c r="B38" s="226"/>
      <c r="C38" s="227"/>
      <c r="D38" s="133"/>
      <c r="E38" s="133"/>
      <c r="F38" s="227"/>
      <c r="G38" s="227"/>
      <c r="H38" s="227"/>
      <c r="I38" s="227"/>
      <c r="J38" s="227"/>
      <c r="K38" s="133"/>
      <c r="L38" s="133"/>
      <c r="M38" s="230"/>
      <c r="N38" s="227"/>
      <c r="O38" s="227"/>
      <c r="P38" s="227"/>
      <c r="Q38" s="229"/>
      <c r="R38" s="133"/>
      <c r="S38" s="133"/>
      <c r="T38" s="227"/>
      <c r="U38" s="227"/>
      <c r="V38" s="227"/>
      <c r="W38" s="227"/>
      <c r="X38" s="229"/>
      <c r="Y38" s="133"/>
      <c r="Z38" s="133"/>
      <c r="AA38" s="230"/>
      <c r="AB38" s="227"/>
      <c r="AC38" s="227"/>
      <c r="AD38" s="227"/>
      <c r="AE38" s="227"/>
      <c r="AF38" s="133"/>
      <c r="AG38" s="497">
        <f>SUM(B38:AF38)</f>
        <v>0</v>
      </c>
      <c r="AH38" s="489"/>
    </row>
    <row r="39" spans="1:35" ht="29.45" thickBot="1">
      <c r="A39" s="173"/>
      <c r="B39" s="249"/>
      <c r="C39" s="251"/>
      <c r="D39" s="102"/>
      <c r="E39" s="105"/>
      <c r="F39" s="253"/>
      <c r="G39" s="251"/>
      <c r="H39" s="251"/>
      <c r="I39" s="251"/>
      <c r="J39" s="251"/>
      <c r="K39" s="102"/>
      <c r="L39" s="111"/>
      <c r="M39" s="256"/>
      <c r="N39" s="251"/>
      <c r="O39" s="251"/>
      <c r="P39" s="222"/>
      <c r="Q39" s="222"/>
      <c r="R39" s="111"/>
      <c r="S39" s="105"/>
      <c r="T39" s="222"/>
      <c r="U39" s="222"/>
      <c r="V39" s="222"/>
      <c r="W39" s="222"/>
      <c r="X39" s="253"/>
      <c r="Y39" s="105"/>
      <c r="Z39" s="106"/>
      <c r="AA39" s="256"/>
      <c r="AB39" s="222"/>
      <c r="AC39" s="222"/>
      <c r="AD39" s="222"/>
      <c r="AE39" s="253"/>
      <c r="AF39" s="111"/>
      <c r="AG39" s="215">
        <v>0</v>
      </c>
      <c r="AH39" s="6"/>
    </row>
    <row r="40" spans="1:35" ht="29.45" thickBot="1">
      <c r="A40" s="146"/>
      <c r="B40" s="255"/>
      <c r="C40" s="246"/>
      <c r="D40" s="108"/>
      <c r="E40" s="108"/>
      <c r="F40" s="248"/>
      <c r="G40" s="246"/>
      <c r="H40" s="246"/>
      <c r="I40" s="248"/>
      <c r="J40" s="246"/>
      <c r="K40" s="108"/>
      <c r="L40" s="107"/>
      <c r="M40" s="247"/>
      <c r="N40" s="246"/>
      <c r="O40" s="248"/>
      <c r="P40" s="246"/>
      <c r="Q40" s="246"/>
      <c r="R40" s="107"/>
      <c r="S40" s="108"/>
      <c r="T40" s="246"/>
      <c r="U40" s="246"/>
      <c r="V40" s="246"/>
      <c r="W40" s="246"/>
      <c r="X40" s="248"/>
      <c r="Y40" s="108"/>
      <c r="Z40" s="109"/>
      <c r="AA40" s="247"/>
      <c r="AB40" s="246"/>
      <c r="AC40" s="246"/>
      <c r="AD40" s="246"/>
      <c r="AE40" s="248"/>
      <c r="AF40" s="107"/>
      <c r="AG40" s="496">
        <f>SUM(B40:AF40)</f>
        <v>0</v>
      </c>
      <c r="AH40" s="6"/>
      <c r="AI40" s="152"/>
    </row>
    <row r="41" spans="1:35" ht="29.45" thickBot="1">
      <c r="A41" s="190"/>
      <c r="B41" s="226"/>
      <c r="C41" s="227"/>
      <c r="D41" s="133"/>
      <c r="E41" s="133"/>
      <c r="F41" s="227"/>
      <c r="G41" s="227"/>
      <c r="H41" s="227"/>
      <c r="I41" s="227"/>
      <c r="J41" s="227"/>
      <c r="K41" s="133"/>
      <c r="L41" s="133"/>
      <c r="M41" s="230"/>
      <c r="N41" s="227"/>
      <c r="O41" s="227"/>
      <c r="P41" s="227"/>
      <c r="Q41" s="229"/>
      <c r="R41" s="133"/>
      <c r="S41" s="133"/>
      <c r="T41" s="227"/>
      <c r="U41" s="227"/>
      <c r="V41" s="227"/>
      <c r="W41" s="227"/>
      <c r="X41" s="229"/>
      <c r="Y41" s="133"/>
      <c r="Z41" s="133"/>
      <c r="AA41" s="230"/>
      <c r="AB41" s="227"/>
      <c r="AC41" s="227"/>
      <c r="AD41" s="227"/>
      <c r="AE41" s="227"/>
      <c r="AF41" s="133"/>
      <c r="AG41" s="497">
        <f>SUM(B41:AF41)</f>
        <v>0</v>
      </c>
      <c r="AH41" s="6"/>
      <c r="AI41" s="152"/>
    </row>
    <row r="42" spans="1:35" ht="29.45" thickBot="1">
      <c r="A42" s="173"/>
      <c r="B42" s="249"/>
      <c r="C42" s="251"/>
      <c r="D42" s="102"/>
      <c r="E42" s="105"/>
      <c r="F42" s="253"/>
      <c r="G42" s="251"/>
      <c r="H42" s="251"/>
      <c r="I42" s="251"/>
      <c r="J42" s="251"/>
      <c r="K42" s="102"/>
      <c r="L42" s="111"/>
      <c r="M42" s="256"/>
      <c r="N42" s="251"/>
      <c r="O42" s="251"/>
      <c r="P42" s="222"/>
      <c r="Q42" s="222"/>
      <c r="R42" s="111"/>
      <c r="S42" s="105"/>
      <c r="T42" s="222"/>
      <c r="U42" s="222"/>
      <c r="V42" s="222"/>
      <c r="W42" s="222"/>
      <c r="X42" s="253"/>
      <c r="Y42" s="105"/>
      <c r="Z42" s="106"/>
      <c r="AA42" s="256"/>
      <c r="AB42" s="222"/>
      <c r="AC42" s="222"/>
      <c r="AD42" s="222"/>
      <c r="AE42" s="253"/>
      <c r="AF42" s="111"/>
      <c r="AG42" s="215">
        <v>0</v>
      </c>
      <c r="AH42" s="6"/>
      <c r="AI42" s="152"/>
    </row>
    <row r="43" spans="1:35" ht="29.45" thickBot="1">
      <c r="A43" s="146"/>
      <c r="B43" s="255"/>
      <c r="C43" s="246"/>
      <c r="D43" s="108"/>
      <c r="E43" s="108"/>
      <c r="F43" s="248"/>
      <c r="G43" s="246"/>
      <c r="H43" s="246"/>
      <c r="I43" s="248"/>
      <c r="J43" s="246"/>
      <c r="K43" s="108"/>
      <c r="L43" s="107"/>
      <c r="M43" s="247"/>
      <c r="N43" s="246"/>
      <c r="O43" s="248"/>
      <c r="P43" s="246"/>
      <c r="Q43" s="246"/>
      <c r="R43" s="107"/>
      <c r="S43" s="108"/>
      <c r="T43" s="246"/>
      <c r="U43" s="246"/>
      <c r="V43" s="246"/>
      <c r="W43" s="246"/>
      <c r="X43" s="248"/>
      <c r="Y43" s="108"/>
      <c r="Z43" s="109"/>
      <c r="AA43" s="247"/>
      <c r="AB43" s="246"/>
      <c r="AC43" s="246"/>
      <c r="AD43" s="246"/>
      <c r="AE43" s="248"/>
      <c r="AF43" s="107"/>
      <c r="AG43" s="496">
        <f>SUM(B43:AF43)</f>
        <v>0</v>
      </c>
      <c r="AH43" s="6"/>
    </row>
    <row r="44" spans="1:35" ht="28.9" customHeight="1" thickBot="1">
      <c r="A44" s="190"/>
      <c r="B44" s="226"/>
      <c r="C44" s="227"/>
      <c r="D44" s="133"/>
      <c r="E44" s="133"/>
      <c r="F44" s="227"/>
      <c r="G44" s="227"/>
      <c r="H44" s="227"/>
      <c r="I44" s="227"/>
      <c r="J44" s="227"/>
      <c r="K44" s="133"/>
      <c r="L44" s="133"/>
      <c r="M44" s="230"/>
      <c r="N44" s="227"/>
      <c r="O44" s="227"/>
      <c r="P44" s="227"/>
      <c r="Q44" s="229"/>
      <c r="R44" s="133"/>
      <c r="S44" s="133"/>
      <c r="T44" s="227"/>
      <c r="U44" s="227"/>
      <c r="V44" s="227"/>
      <c r="W44" s="227"/>
      <c r="X44" s="229"/>
      <c r="Y44" s="133"/>
      <c r="Z44" s="133"/>
      <c r="AA44" s="230"/>
      <c r="AB44" s="227"/>
      <c r="AC44" s="227"/>
      <c r="AD44" s="227"/>
      <c r="AE44" s="227"/>
      <c r="AF44" s="133"/>
      <c r="AG44" s="497">
        <f>SUM(B44:AF44)</f>
        <v>0</v>
      </c>
      <c r="AH44" s="6"/>
    </row>
    <row r="45" spans="1:35" ht="29.45" thickBot="1">
      <c r="A45" s="173"/>
      <c r="B45" s="249"/>
      <c r="C45" s="251"/>
      <c r="D45" s="102"/>
      <c r="E45" s="105"/>
      <c r="F45" s="253"/>
      <c r="G45" s="251"/>
      <c r="H45" s="251"/>
      <c r="I45" s="251"/>
      <c r="J45" s="251"/>
      <c r="K45" s="102"/>
      <c r="L45" s="111"/>
      <c r="M45" s="256"/>
      <c r="N45" s="251"/>
      <c r="O45" s="251"/>
      <c r="P45" s="222"/>
      <c r="Q45" s="222"/>
      <c r="R45" s="111"/>
      <c r="S45" s="105"/>
      <c r="T45" s="222"/>
      <c r="U45" s="222"/>
      <c r="V45" s="222"/>
      <c r="W45" s="222"/>
      <c r="X45" s="253"/>
      <c r="Y45" s="105"/>
      <c r="Z45" s="106"/>
      <c r="AA45" s="256"/>
      <c r="AB45" s="222"/>
      <c r="AC45" s="222"/>
      <c r="AD45" s="222"/>
      <c r="AE45" s="253"/>
      <c r="AF45" s="111"/>
      <c r="AG45" s="215">
        <v>0</v>
      </c>
      <c r="AH45" s="6"/>
    </row>
    <row r="46" spans="1:35" ht="29.45" thickBot="1">
      <c r="A46" s="146"/>
      <c r="B46" s="255"/>
      <c r="C46" s="246"/>
      <c r="D46" s="108"/>
      <c r="E46" s="108"/>
      <c r="F46" s="248"/>
      <c r="G46" s="246"/>
      <c r="H46" s="246"/>
      <c r="I46" s="248"/>
      <c r="J46" s="246"/>
      <c r="K46" s="108"/>
      <c r="L46" s="107"/>
      <c r="M46" s="247"/>
      <c r="N46" s="246"/>
      <c r="O46" s="248"/>
      <c r="P46" s="246"/>
      <c r="Q46" s="246"/>
      <c r="R46" s="107"/>
      <c r="S46" s="108"/>
      <c r="T46" s="246"/>
      <c r="U46" s="246"/>
      <c r="V46" s="246"/>
      <c r="W46" s="246"/>
      <c r="X46" s="248"/>
      <c r="Y46" s="108"/>
      <c r="Z46" s="109"/>
      <c r="AA46" s="247"/>
      <c r="AB46" s="246"/>
      <c r="AC46" s="246"/>
      <c r="AD46" s="246"/>
      <c r="AE46" s="248"/>
      <c r="AF46" s="107"/>
      <c r="AG46" s="496">
        <f>SUM(B46:AF46)</f>
        <v>0</v>
      </c>
      <c r="AH46" s="6"/>
    </row>
    <row r="47" spans="1:35" ht="29.45" thickBot="1">
      <c r="A47" s="190"/>
      <c r="B47" s="226"/>
      <c r="C47" s="227"/>
      <c r="D47" s="133"/>
      <c r="E47" s="133"/>
      <c r="F47" s="227"/>
      <c r="G47" s="227"/>
      <c r="H47" s="227"/>
      <c r="I47" s="227"/>
      <c r="J47" s="227"/>
      <c r="K47" s="133"/>
      <c r="L47" s="133"/>
      <c r="M47" s="230"/>
      <c r="N47" s="227"/>
      <c r="O47" s="227"/>
      <c r="P47" s="227"/>
      <c r="Q47" s="229"/>
      <c r="R47" s="133"/>
      <c r="S47" s="133"/>
      <c r="T47" s="227"/>
      <c r="U47" s="227"/>
      <c r="V47" s="227"/>
      <c r="W47" s="227"/>
      <c r="X47" s="229"/>
      <c r="Y47" s="133"/>
      <c r="Z47" s="133"/>
      <c r="AA47" s="230"/>
      <c r="AB47" s="227"/>
      <c r="AC47" s="227"/>
      <c r="AD47" s="227"/>
      <c r="AE47" s="227"/>
      <c r="AF47" s="133"/>
      <c r="AG47" s="497">
        <f>SUM(B47:AF47)</f>
        <v>0</v>
      </c>
      <c r="AH47" s="6"/>
    </row>
    <row r="48" spans="1:35" ht="29.45" hidden="1" thickBot="1">
      <c r="A48" s="173"/>
      <c r="B48" s="249"/>
      <c r="C48" s="251"/>
      <c r="D48" s="102"/>
      <c r="E48" s="105"/>
      <c r="F48" s="253"/>
      <c r="G48" s="251"/>
      <c r="H48" s="251"/>
      <c r="I48" s="251"/>
      <c r="J48" s="251"/>
      <c r="K48" s="102"/>
      <c r="L48" s="111"/>
      <c r="M48" s="256"/>
      <c r="N48" s="251"/>
      <c r="O48" s="251"/>
      <c r="P48" s="222"/>
      <c r="Q48" s="222"/>
      <c r="R48" s="111"/>
      <c r="S48" s="105"/>
      <c r="T48" s="222"/>
      <c r="U48" s="222"/>
      <c r="V48" s="222"/>
      <c r="W48" s="222"/>
      <c r="X48" s="253"/>
      <c r="Y48" s="105"/>
      <c r="Z48" s="106"/>
      <c r="AA48" s="256"/>
      <c r="AB48" s="222"/>
      <c r="AC48" s="222"/>
      <c r="AD48" s="222"/>
      <c r="AE48" s="253"/>
      <c r="AF48" s="111"/>
      <c r="AG48" s="215">
        <v>0</v>
      </c>
      <c r="AH48" s="6"/>
    </row>
    <row r="49" spans="1:34" ht="29.45" hidden="1" thickBot="1">
      <c r="A49" s="146"/>
      <c r="B49" s="255"/>
      <c r="C49" s="246"/>
      <c r="D49" s="108"/>
      <c r="E49" s="108"/>
      <c r="F49" s="248"/>
      <c r="G49" s="246"/>
      <c r="H49" s="246"/>
      <c r="I49" s="248"/>
      <c r="J49" s="246"/>
      <c r="K49" s="108"/>
      <c r="L49" s="107"/>
      <c r="M49" s="247"/>
      <c r="N49" s="246"/>
      <c r="O49" s="248"/>
      <c r="P49" s="246"/>
      <c r="Q49" s="246"/>
      <c r="R49" s="107"/>
      <c r="S49" s="108"/>
      <c r="T49" s="246"/>
      <c r="U49" s="246"/>
      <c r="V49" s="246"/>
      <c r="W49" s="246"/>
      <c r="X49" s="248"/>
      <c r="Y49" s="108"/>
      <c r="Z49" s="109"/>
      <c r="AA49" s="247"/>
      <c r="AB49" s="246"/>
      <c r="AC49" s="246"/>
      <c r="AD49" s="246"/>
      <c r="AE49" s="248"/>
      <c r="AF49" s="107"/>
      <c r="AG49" s="496">
        <f>SUM(B49:AF49)</f>
        <v>0</v>
      </c>
      <c r="AH49" s="6"/>
    </row>
    <row r="50" spans="1:34" ht="28.9" hidden="1" thickBot="1">
      <c r="A50" s="190"/>
      <c r="B50" s="226"/>
      <c r="C50" s="227"/>
      <c r="D50" s="133"/>
      <c r="E50" s="133"/>
      <c r="F50" s="227"/>
      <c r="G50" s="227"/>
      <c r="H50" s="227"/>
      <c r="I50" s="227"/>
      <c r="J50" s="227"/>
      <c r="K50" s="133"/>
      <c r="L50" s="133"/>
      <c r="M50" s="230"/>
      <c r="N50" s="227"/>
      <c r="O50" s="227"/>
      <c r="P50" s="227"/>
      <c r="Q50" s="229"/>
      <c r="R50" s="133"/>
      <c r="S50" s="133"/>
      <c r="T50" s="227"/>
      <c r="U50" s="227"/>
      <c r="V50" s="227"/>
      <c r="W50" s="227"/>
      <c r="X50" s="229"/>
      <c r="Y50" s="133"/>
      <c r="Z50" s="133"/>
      <c r="AA50" s="230"/>
      <c r="AB50" s="227"/>
      <c r="AC50" s="227"/>
      <c r="AD50" s="227"/>
      <c r="AE50" s="227"/>
      <c r="AF50" s="133"/>
      <c r="AG50" s="497">
        <f>SUM(B50:AF50)</f>
        <v>0</v>
      </c>
    </row>
    <row r="51" spans="1:34" ht="28.9" hidden="1" thickBot="1">
      <c r="A51" s="173"/>
      <c r="B51" s="249"/>
      <c r="C51" s="251"/>
      <c r="D51" s="102"/>
      <c r="E51" s="105"/>
      <c r="F51" s="253"/>
      <c r="G51" s="251"/>
      <c r="H51" s="251"/>
      <c r="I51" s="251"/>
      <c r="J51" s="251"/>
      <c r="K51" s="102"/>
      <c r="L51" s="111"/>
      <c r="M51" s="256"/>
      <c r="N51" s="251"/>
      <c r="O51" s="251"/>
      <c r="P51" s="222"/>
      <c r="Q51" s="222"/>
      <c r="R51" s="111"/>
      <c r="S51" s="105"/>
      <c r="T51" s="222"/>
      <c r="U51" s="222"/>
      <c r="V51" s="222"/>
      <c r="W51" s="222"/>
      <c r="X51" s="253"/>
      <c r="Y51" s="105"/>
      <c r="Z51" s="106"/>
      <c r="AA51" s="256"/>
      <c r="AB51" s="222"/>
      <c r="AC51" s="222"/>
      <c r="AD51" s="222"/>
      <c r="AE51" s="253"/>
      <c r="AF51" s="111"/>
      <c r="AG51" s="215">
        <v>0</v>
      </c>
    </row>
    <row r="52" spans="1:34" ht="28.9" hidden="1" thickBot="1">
      <c r="A52" s="146"/>
      <c r="B52" s="255"/>
      <c r="C52" s="246"/>
      <c r="D52" s="108"/>
      <c r="E52" s="108"/>
      <c r="F52" s="248"/>
      <c r="G52" s="246"/>
      <c r="H52" s="246"/>
      <c r="I52" s="248"/>
      <c r="J52" s="246"/>
      <c r="K52" s="108"/>
      <c r="L52" s="107"/>
      <c r="M52" s="247"/>
      <c r="N52" s="246"/>
      <c r="O52" s="248"/>
      <c r="P52" s="246"/>
      <c r="Q52" s="246"/>
      <c r="R52" s="107"/>
      <c r="S52" s="108"/>
      <c r="T52" s="246"/>
      <c r="U52" s="246"/>
      <c r="V52" s="246"/>
      <c r="W52" s="246"/>
      <c r="X52" s="248"/>
      <c r="Y52" s="108"/>
      <c r="Z52" s="109"/>
      <c r="AA52" s="247"/>
      <c r="AB52" s="246"/>
      <c r="AC52" s="246"/>
      <c r="AD52" s="246"/>
      <c r="AE52" s="248"/>
      <c r="AF52" s="107"/>
      <c r="AG52" s="496">
        <f>SUM(B52:AF52)</f>
        <v>0</v>
      </c>
    </row>
    <row r="53" spans="1:34" ht="28.9" hidden="1" thickBot="1">
      <c r="A53" s="190"/>
      <c r="B53" s="226"/>
      <c r="C53" s="227"/>
      <c r="D53" s="133"/>
      <c r="E53" s="133"/>
      <c r="F53" s="227"/>
      <c r="G53" s="227"/>
      <c r="H53" s="227"/>
      <c r="I53" s="227"/>
      <c r="J53" s="227"/>
      <c r="K53" s="133"/>
      <c r="L53" s="133"/>
      <c r="M53" s="230"/>
      <c r="N53" s="227"/>
      <c r="O53" s="227"/>
      <c r="P53" s="227"/>
      <c r="Q53" s="229"/>
      <c r="R53" s="133"/>
      <c r="S53" s="133"/>
      <c r="T53" s="227"/>
      <c r="U53" s="227"/>
      <c r="V53" s="227"/>
      <c r="W53" s="227"/>
      <c r="X53" s="229"/>
      <c r="Y53" s="133"/>
      <c r="Z53" s="133"/>
      <c r="AA53" s="230"/>
      <c r="AB53" s="227"/>
      <c r="AC53" s="227"/>
      <c r="AD53" s="227"/>
      <c r="AE53" s="227"/>
      <c r="AF53" s="133"/>
      <c r="AG53" s="497">
        <f>SUM(B53:AF53)</f>
        <v>0</v>
      </c>
    </row>
    <row r="54" spans="1:34" ht="28.9" hidden="1" thickBot="1">
      <c r="A54" s="173"/>
      <c r="B54" s="249"/>
      <c r="C54" s="251"/>
      <c r="D54" s="102"/>
      <c r="E54" s="105"/>
      <c r="F54" s="253"/>
      <c r="G54" s="251"/>
      <c r="H54" s="251"/>
      <c r="I54" s="251"/>
      <c r="J54" s="251"/>
      <c r="K54" s="102"/>
      <c r="L54" s="111"/>
      <c r="M54" s="256"/>
      <c r="N54" s="251"/>
      <c r="O54" s="251"/>
      <c r="P54" s="222"/>
      <c r="Q54" s="222"/>
      <c r="R54" s="111"/>
      <c r="S54" s="105"/>
      <c r="T54" s="222"/>
      <c r="U54" s="222"/>
      <c r="V54" s="222"/>
      <c r="W54" s="222"/>
      <c r="X54" s="253"/>
      <c r="Y54" s="105"/>
      <c r="Z54" s="106"/>
      <c r="AA54" s="256"/>
      <c r="AB54" s="222"/>
      <c r="AC54" s="222"/>
      <c r="AD54" s="222"/>
      <c r="AE54" s="253"/>
      <c r="AF54" s="111"/>
      <c r="AG54" s="215">
        <v>0</v>
      </c>
    </row>
    <row r="55" spans="1:34" ht="28.9" hidden="1" thickBot="1">
      <c r="A55" s="146"/>
      <c r="B55" s="255"/>
      <c r="C55" s="246"/>
      <c r="D55" s="108"/>
      <c r="E55" s="108"/>
      <c r="F55" s="248"/>
      <c r="G55" s="246"/>
      <c r="H55" s="246"/>
      <c r="I55" s="248"/>
      <c r="J55" s="246"/>
      <c r="K55" s="108"/>
      <c r="L55" s="107"/>
      <c r="M55" s="247"/>
      <c r="N55" s="246"/>
      <c r="O55" s="248"/>
      <c r="P55" s="246"/>
      <c r="Q55" s="246"/>
      <c r="R55" s="107"/>
      <c r="S55" s="108"/>
      <c r="T55" s="246"/>
      <c r="U55" s="246"/>
      <c r="V55" s="246"/>
      <c r="W55" s="246"/>
      <c r="X55" s="248"/>
      <c r="Y55" s="108"/>
      <c r="Z55" s="109"/>
      <c r="AA55" s="247"/>
      <c r="AB55" s="246"/>
      <c r="AC55" s="246"/>
      <c r="AD55" s="246"/>
      <c r="AE55" s="248"/>
      <c r="AF55" s="107"/>
      <c r="AG55" s="496">
        <f>SUM(B55:AF55)</f>
        <v>0</v>
      </c>
    </row>
    <row r="56" spans="1:34" ht="28.9" hidden="1" thickBot="1">
      <c r="A56" s="190"/>
      <c r="B56" s="226"/>
      <c r="C56" s="227"/>
      <c r="D56" s="133"/>
      <c r="E56" s="133"/>
      <c r="F56" s="227"/>
      <c r="G56" s="227"/>
      <c r="H56" s="227"/>
      <c r="I56" s="227"/>
      <c r="J56" s="227"/>
      <c r="K56" s="133"/>
      <c r="L56" s="133"/>
      <c r="M56" s="230"/>
      <c r="N56" s="227"/>
      <c r="O56" s="227"/>
      <c r="P56" s="227"/>
      <c r="Q56" s="229"/>
      <c r="R56" s="133"/>
      <c r="S56" s="133"/>
      <c r="T56" s="227"/>
      <c r="U56" s="227"/>
      <c r="V56" s="227"/>
      <c r="W56" s="227"/>
      <c r="X56" s="229"/>
      <c r="Y56" s="133"/>
      <c r="Z56" s="133"/>
      <c r="AA56" s="230"/>
      <c r="AB56" s="227"/>
      <c r="AC56" s="227"/>
      <c r="AD56" s="227"/>
      <c r="AE56" s="227"/>
      <c r="AF56" s="133"/>
      <c r="AG56" s="497">
        <f>SUM(B56:AF56)</f>
        <v>0</v>
      </c>
    </row>
    <row r="57" spans="1:34" ht="29.45" hidden="1" thickBot="1">
      <c r="A57" s="173"/>
      <c r="B57" s="266"/>
      <c r="C57" s="222"/>
      <c r="D57" s="105"/>
      <c r="E57" s="111"/>
      <c r="F57" s="222"/>
      <c r="G57" s="222"/>
      <c r="H57" s="222"/>
      <c r="I57" s="222"/>
      <c r="J57" s="222"/>
      <c r="K57" s="105"/>
      <c r="L57" s="105"/>
      <c r="M57" s="256"/>
      <c r="N57" s="222"/>
      <c r="O57" s="254"/>
      <c r="P57" s="222"/>
      <c r="Q57" s="254"/>
      <c r="R57" s="105"/>
      <c r="S57" s="105"/>
      <c r="T57" s="254"/>
      <c r="U57" s="222"/>
      <c r="V57" s="254"/>
      <c r="W57" s="222"/>
      <c r="X57" s="254"/>
      <c r="Y57" s="105"/>
      <c r="Z57" s="105"/>
      <c r="AA57" s="256"/>
      <c r="AB57" s="309"/>
      <c r="AC57" s="222"/>
      <c r="AD57" s="222"/>
      <c r="AE57" s="222"/>
      <c r="AF57" s="105"/>
      <c r="AG57" s="215">
        <f>SUM(B57:AF57)</f>
        <v>0</v>
      </c>
    </row>
    <row r="58" spans="1:34" ht="28.9" hidden="1" thickBot="1">
      <c r="A58" s="189"/>
      <c r="B58" s="259"/>
      <c r="C58" s="232"/>
      <c r="D58" s="137"/>
      <c r="E58" s="149"/>
      <c r="F58" s="232"/>
      <c r="G58" s="232"/>
      <c r="H58" s="232"/>
      <c r="I58" s="232"/>
      <c r="J58" s="232"/>
      <c r="K58" s="137"/>
      <c r="L58" s="137"/>
      <c r="M58" s="231"/>
      <c r="N58" s="232"/>
      <c r="O58" s="232"/>
      <c r="P58" s="232"/>
      <c r="Q58" s="232"/>
      <c r="R58" s="137"/>
      <c r="S58" s="137"/>
      <c r="T58" s="260"/>
      <c r="U58" s="232"/>
      <c r="V58" s="232"/>
      <c r="W58" s="260"/>
      <c r="X58" s="232"/>
      <c r="Y58" s="137"/>
      <c r="Z58" s="137"/>
      <c r="AA58" s="231"/>
      <c r="AB58" s="232"/>
      <c r="AC58" s="232"/>
      <c r="AD58" s="232"/>
      <c r="AE58" s="233"/>
      <c r="AF58" s="338"/>
      <c r="AG58" s="554">
        <f>SUM(B58:AF58)</f>
        <v>0</v>
      </c>
    </row>
    <row r="59" spans="1:34" ht="28.9" hidden="1" thickBot="1">
      <c r="A59" s="150"/>
      <c r="B59" s="255"/>
      <c r="C59" s="246"/>
      <c r="D59" s="108"/>
      <c r="E59" s="107"/>
      <c r="F59" s="246"/>
      <c r="G59" s="246"/>
      <c r="H59" s="246"/>
      <c r="I59" s="246"/>
      <c r="J59" s="246"/>
      <c r="K59" s="108"/>
      <c r="L59" s="107"/>
      <c r="M59" s="252"/>
      <c r="N59" s="246"/>
      <c r="O59" s="252"/>
      <c r="P59" s="246"/>
      <c r="Q59" s="252"/>
      <c r="R59" s="108"/>
      <c r="S59" s="108"/>
      <c r="T59" s="252"/>
      <c r="U59" s="246"/>
      <c r="V59" s="247"/>
      <c r="W59" s="246"/>
      <c r="X59" s="252"/>
      <c r="Y59" s="108"/>
      <c r="Z59" s="108"/>
      <c r="AA59" s="247"/>
      <c r="AB59" s="246"/>
      <c r="AC59" s="246"/>
      <c r="AD59" s="246"/>
      <c r="AE59" s="265"/>
      <c r="AF59" s="113"/>
      <c r="AG59" s="553">
        <f>SUM(B59:AF59)</f>
        <v>0</v>
      </c>
    </row>
    <row r="60" spans="1:34" ht="32.450000000000003" thickBot="1">
      <c r="A60" s="678" t="s">
        <v>40</v>
      </c>
      <c r="B60" s="311"/>
      <c r="C60" s="312"/>
      <c r="D60" s="312"/>
      <c r="E60" s="313"/>
      <c r="F60" s="312"/>
      <c r="G60" s="312"/>
      <c r="H60" s="312"/>
      <c r="I60" s="312"/>
      <c r="J60" s="312"/>
      <c r="K60" s="312"/>
      <c r="L60" s="313"/>
      <c r="M60" s="314"/>
      <c r="N60" s="312"/>
      <c r="O60" s="314"/>
      <c r="P60" s="312"/>
      <c r="Q60" s="314"/>
      <c r="R60" s="312"/>
      <c r="S60" s="312"/>
      <c r="T60" s="314"/>
      <c r="U60" s="312"/>
      <c r="V60" s="315"/>
      <c r="W60" s="312"/>
      <c r="X60" s="314"/>
      <c r="Y60" s="312"/>
      <c r="Z60" s="312"/>
      <c r="AA60" s="315"/>
      <c r="AB60" s="312"/>
      <c r="AC60" s="313"/>
      <c r="AD60" s="312"/>
      <c r="AE60" s="312"/>
      <c r="AF60" s="316"/>
      <c r="AG60" s="498" t="s">
        <v>41</v>
      </c>
    </row>
    <row r="61" spans="1:34" ht="32.450000000000003" thickBot="1">
      <c r="A61" s="679"/>
      <c r="B61" s="317"/>
      <c r="C61" s="318"/>
      <c r="D61" s="318"/>
      <c r="E61" s="318"/>
      <c r="F61" s="318"/>
      <c r="G61" s="318"/>
      <c r="H61" s="318"/>
      <c r="I61" s="318"/>
      <c r="J61" s="318"/>
      <c r="K61" s="318"/>
      <c r="L61" s="318"/>
      <c r="M61" s="318"/>
      <c r="N61" s="318"/>
      <c r="O61" s="318"/>
      <c r="P61" s="318"/>
      <c r="Q61" s="318"/>
      <c r="R61" s="318"/>
      <c r="S61" s="318"/>
      <c r="T61" s="318"/>
      <c r="U61" s="318"/>
      <c r="V61" s="318"/>
      <c r="W61" s="318"/>
      <c r="X61" s="318"/>
      <c r="Y61" s="318"/>
      <c r="Z61" s="318"/>
      <c r="AA61" s="318"/>
      <c r="AB61" s="318"/>
      <c r="AC61" s="318"/>
      <c r="AD61" s="318"/>
      <c r="AE61" s="318"/>
      <c r="AF61" s="319"/>
      <c r="AG61" s="499">
        <v>165.5</v>
      </c>
    </row>
    <row r="62" spans="1:34" ht="29.45" thickTop="1">
      <c r="A62" s="125" t="s">
        <v>42</v>
      </c>
      <c r="B62" s="126"/>
      <c r="C62" s="126"/>
      <c r="D62" s="124"/>
      <c r="E62" s="124"/>
      <c r="F62" s="124"/>
      <c r="G62" s="124"/>
      <c r="H62" s="127"/>
      <c r="I62" s="7"/>
      <c r="J62" s="7"/>
      <c r="K62" s="20" t="s">
        <v>43</v>
      </c>
      <c r="L62" s="37"/>
      <c r="M62" s="37"/>
      <c r="N62" s="37"/>
      <c r="O62" s="37"/>
      <c r="P62" s="22"/>
      <c r="Q62" s="22"/>
      <c r="R62" s="128"/>
      <c r="S62" s="128" t="s">
        <v>44</v>
      </c>
      <c r="T62" s="23"/>
      <c r="U62" s="129"/>
      <c r="V62" s="7"/>
      <c r="W62" s="7"/>
      <c r="X62" s="25"/>
      <c r="Y62" s="26"/>
      <c r="Z62" s="26"/>
      <c r="AA62" s="26"/>
      <c r="AB62" s="90" t="s">
        <v>45</v>
      </c>
      <c r="AC62" s="26"/>
      <c r="AD62" s="26"/>
      <c r="AE62" s="26"/>
      <c r="AF62" s="26"/>
      <c r="AG62" s="55"/>
    </row>
    <row r="63" spans="1:34" ht="28.9">
      <c r="A63" s="16" t="s">
        <v>46</v>
      </c>
      <c r="B63" s="17"/>
      <c r="C63" s="17"/>
      <c r="D63" s="18"/>
      <c r="E63" s="18"/>
      <c r="F63" s="18"/>
      <c r="G63" s="18"/>
      <c r="H63" s="19"/>
      <c r="I63" s="7"/>
      <c r="J63" s="7"/>
      <c r="K63" s="20" t="s">
        <v>47</v>
      </c>
      <c r="L63" s="21"/>
      <c r="M63" s="21"/>
      <c r="N63" s="21"/>
      <c r="O63" s="21"/>
      <c r="P63" s="22"/>
      <c r="Q63" s="128"/>
      <c r="R63" s="128" t="s">
        <v>48</v>
      </c>
      <c r="S63" s="23"/>
      <c r="T63" s="23"/>
      <c r="U63" s="24"/>
      <c r="V63" s="7"/>
      <c r="W63" s="7"/>
      <c r="X63" s="25"/>
      <c r="Y63" s="26"/>
      <c r="Z63" s="26"/>
      <c r="AA63" s="26"/>
      <c r="AB63" s="26"/>
      <c r="AC63" s="26"/>
      <c r="AD63" s="26"/>
      <c r="AE63" s="26"/>
      <c r="AF63" s="26"/>
      <c r="AG63" s="55"/>
    </row>
    <row r="64" spans="1:34" ht="28.15">
      <c r="A64" s="27" t="s">
        <v>49</v>
      </c>
      <c r="B64" s="28"/>
      <c r="C64" s="28"/>
      <c r="D64" s="28"/>
      <c r="E64" s="28"/>
      <c r="F64" s="28"/>
      <c r="G64" s="28"/>
      <c r="H64" s="29"/>
      <c r="I64" s="7"/>
      <c r="J64" s="7"/>
      <c r="K64" s="20" t="s">
        <v>50</v>
      </c>
      <c r="L64" s="21"/>
      <c r="M64" s="21"/>
      <c r="N64" s="21"/>
      <c r="O64" s="21"/>
      <c r="P64" s="22"/>
      <c r="Q64" s="22"/>
      <c r="R64" s="22"/>
      <c r="S64" s="22"/>
      <c r="T64" s="22"/>
      <c r="U64" s="30"/>
      <c r="V64" s="7"/>
      <c r="W64" s="7"/>
      <c r="X64" s="31"/>
      <c r="Y64" s="26"/>
      <c r="Z64" s="26"/>
      <c r="AA64" s="26"/>
      <c r="AB64" s="26"/>
      <c r="AC64" s="26"/>
      <c r="AD64" s="26"/>
      <c r="AE64" s="26"/>
      <c r="AF64" s="26"/>
      <c r="AG64" s="15"/>
    </row>
    <row r="65" spans="1:33" ht="28.9">
      <c r="A65" s="32" t="s">
        <v>51</v>
      </c>
      <c r="B65" s="33"/>
      <c r="C65" s="33"/>
      <c r="D65" s="34"/>
      <c r="E65" s="34"/>
      <c r="F65" s="34"/>
      <c r="G65" s="34"/>
      <c r="H65" s="35"/>
      <c r="I65" s="36"/>
      <c r="J65" s="36"/>
      <c r="K65" s="20" t="s">
        <v>70</v>
      </c>
      <c r="L65" s="21"/>
      <c r="M65" s="21"/>
      <c r="N65" s="21"/>
      <c r="O65" s="21"/>
      <c r="P65" s="37"/>
      <c r="Q65" s="37"/>
      <c r="R65" s="37"/>
      <c r="S65" s="38"/>
      <c r="T65" s="37"/>
      <c r="U65" s="39"/>
      <c r="V65" s="40"/>
      <c r="W65" s="6"/>
      <c r="X65" s="701"/>
      <c r="Y65" s="702"/>
      <c r="Z65" s="702"/>
      <c r="AA65" s="702"/>
      <c r="AB65" s="702"/>
      <c r="AC65" s="702"/>
      <c r="AD65" s="702"/>
      <c r="AE65" s="702"/>
      <c r="AF65" s="702"/>
      <c r="AG65" s="703"/>
    </row>
    <row r="66" spans="1:33" ht="28.9">
      <c r="A66" s="42" t="s">
        <v>53</v>
      </c>
      <c r="B66" s="43"/>
      <c r="C66" s="43"/>
      <c r="D66" s="43"/>
      <c r="E66" s="43"/>
      <c r="F66" s="43"/>
      <c r="G66" s="43"/>
      <c r="H66" s="44"/>
      <c r="I66" s="36"/>
      <c r="J66" s="36"/>
      <c r="K66" s="20" t="s">
        <v>71</v>
      </c>
      <c r="L66" s="21"/>
      <c r="M66" s="21"/>
      <c r="N66" s="21"/>
      <c r="O66" s="21"/>
      <c r="P66" s="21"/>
      <c r="Q66" s="21"/>
      <c r="R66" s="21"/>
      <c r="S66" s="38"/>
      <c r="T66" s="37"/>
      <c r="U66" s="39"/>
      <c r="V66" s="40"/>
      <c r="W66" s="6"/>
      <c r="X66" s="41"/>
      <c r="Y66" s="45"/>
      <c r="Z66" s="46"/>
      <c r="AA66" s="45"/>
      <c r="AB66" s="45"/>
      <c r="AC66" s="45"/>
      <c r="AD66" s="45"/>
      <c r="AE66" s="45"/>
      <c r="AF66" s="45"/>
      <c r="AG66" s="15"/>
    </row>
    <row r="67" spans="1:33" ht="28.9">
      <c r="A67" s="47" t="s">
        <v>55</v>
      </c>
      <c r="B67" s="48"/>
      <c r="C67" s="48"/>
      <c r="D67" s="49"/>
      <c r="E67" s="49"/>
      <c r="F67" s="49"/>
      <c r="G67" s="49"/>
      <c r="H67" s="50"/>
      <c r="I67" s="36"/>
      <c r="J67" s="36"/>
      <c r="K67" s="20" t="s">
        <v>56</v>
      </c>
      <c r="L67" s="21"/>
      <c r="M67" s="21"/>
      <c r="N67" s="21"/>
      <c r="O67" s="21"/>
      <c r="P67" s="21"/>
      <c r="Q67" s="21"/>
      <c r="R67" s="21"/>
      <c r="S67" s="38"/>
      <c r="T67" s="37"/>
      <c r="U67" s="51"/>
      <c r="V67" s="40"/>
      <c r="W67" s="6"/>
      <c r="X67" s="41"/>
      <c r="Y67" s="45"/>
      <c r="Z67" s="46"/>
      <c r="AA67" s="45"/>
      <c r="AB67" s="45"/>
      <c r="AC67" s="45"/>
      <c r="AD67" s="45"/>
      <c r="AE67" s="45"/>
      <c r="AF67" s="45"/>
      <c r="AG67" s="15"/>
    </row>
    <row r="68" spans="1:33" ht="28.9">
      <c r="A68" s="52" t="s">
        <v>57</v>
      </c>
      <c r="B68" s="53"/>
      <c r="C68" s="53"/>
      <c r="D68" s="53"/>
      <c r="E68" s="53"/>
      <c r="F68" s="53"/>
      <c r="G68" s="53"/>
      <c r="H68" s="54"/>
      <c r="I68" s="36"/>
      <c r="J68" s="36"/>
      <c r="K68" s="20" t="s">
        <v>58</v>
      </c>
      <c r="L68" s="21"/>
      <c r="M68" s="21"/>
      <c r="N68" s="21"/>
      <c r="O68" s="21"/>
      <c r="P68" s="21"/>
      <c r="Q68" s="21" t="s">
        <v>59</v>
      </c>
      <c r="R68" s="21"/>
      <c r="S68" s="38"/>
      <c r="T68" s="37"/>
      <c r="U68" s="39"/>
      <c r="V68" s="40"/>
      <c r="W68" s="6"/>
      <c r="X68" s="41"/>
      <c r="Y68" s="45"/>
      <c r="Z68" s="46"/>
      <c r="AA68" s="45"/>
      <c r="AB68" s="45"/>
      <c r="AC68" s="45"/>
      <c r="AD68" s="45"/>
      <c r="AE68" s="45"/>
      <c r="AF68" s="45"/>
      <c r="AG68" s="55"/>
    </row>
    <row r="69" spans="1:33" ht="29.45" thickBot="1">
      <c r="A69" s="78" t="s">
        <v>60</v>
      </c>
      <c r="B69" s="79"/>
      <c r="C69" s="79"/>
      <c r="D69" s="80"/>
      <c r="E69" s="80"/>
      <c r="F69" s="80"/>
      <c r="G69" s="80"/>
      <c r="H69" s="81"/>
      <c r="I69" s="6"/>
      <c r="J69" s="6"/>
      <c r="K69" s="20" t="s">
        <v>61</v>
      </c>
      <c r="L69" s="21"/>
      <c r="M69" s="21"/>
      <c r="N69" s="21"/>
      <c r="O69" s="21"/>
      <c r="P69" s="21"/>
      <c r="Q69" s="21"/>
      <c r="R69" s="21"/>
      <c r="S69" s="38"/>
      <c r="T69" s="37"/>
      <c r="U69" s="51"/>
      <c r="V69" s="6"/>
      <c r="W69" s="6"/>
      <c r="X69" s="41"/>
      <c r="Y69" s="45"/>
      <c r="Z69" s="46"/>
      <c r="AA69" s="45"/>
      <c r="AB69" s="45"/>
      <c r="AC69" s="45"/>
      <c r="AD69" s="45"/>
      <c r="AE69" s="45"/>
      <c r="AF69" s="45"/>
      <c r="AG69" s="55"/>
    </row>
    <row r="70" spans="1:33" ht="29.45" thickBot="1">
      <c r="A70" s="82" t="s">
        <v>62</v>
      </c>
      <c r="B70" s="83"/>
      <c r="C70" s="83"/>
      <c r="D70" s="83"/>
      <c r="E70" s="83"/>
      <c r="F70" s="83"/>
      <c r="G70" s="83"/>
      <c r="H70" s="84"/>
      <c r="I70" s="6"/>
      <c r="J70" s="6"/>
      <c r="K70" s="63" t="s">
        <v>63</v>
      </c>
      <c r="L70" s="64"/>
      <c r="M70" s="64"/>
      <c r="N70" s="64"/>
      <c r="O70" s="64"/>
      <c r="P70" s="64"/>
      <c r="Q70" s="64"/>
      <c r="R70" s="64"/>
      <c r="S70" s="65"/>
      <c r="T70" s="66"/>
      <c r="U70" s="67"/>
      <c r="V70" s="6"/>
      <c r="W70" s="6"/>
      <c r="X70" s="68"/>
      <c r="Y70" s="69"/>
      <c r="Z70" s="70"/>
      <c r="AA70" s="69"/>
      <c r="AB70" s="69"/>
      <c r="AC70" s="69"/>
      <c r="AD70" s="69"/>
      <c r="AE70" s="69"/>
      <c r="AF70" s="69"/>
      <c r="AG70" s="71"/>
    </row>
    <row r="71" spans="1:33" ht="28.9">
      <c r="A71" s="6"/>
      <c r="B71" s="6"/>
      <c r="C71" s="6"/>
      <c r="D71" s="6"/>
      <c r="E71" s="6"/>
      <c r="F71" s="6"/>
      <c r="G71" s="6"/>
      <c r="H71" s="6"/>
      <c r="I71" s="6"/>
      <c r="J71" s="72"/>
      <c r="K71" s="73"/>
      <c r="L71" s="74"/>
      <c r="M71" s="74"/>
      <c r="N71" s="74"/>
      <c r="O71" s="74"/>
      <c r="P71" s="74"/>
      <c r="Q71" s="74"/>
      <c r="R71" s="72"/>
      <c r="S71" s="72"/>
      <c r="T71" s="72"/>
      <c r="U71" s="72"/>
      <c r="V71" s="72"/>
      <c r="W71" s="72"/>
      <c r="X71" s="72"/>
      <c r="Y71" s="72"/>
      <c r="Z71" s="6"/>
      <c r="AA71" s="6"/>
      <c r="AB71" s="6"/>
      <c r="AC71" s="6"/>
      <c r="AD71" s="6"/>
      <c r="AE71" s="6"/>
      <c r="AF71" s="6"/>
      <c r="AG71" s="6"/>
    </row>
    <row r="72" spans="1:33" ht="28.9">
      <c r="A72" s="6" t="s">
        <v>64</v>
      </c>
      <c r="B72" s="6"/>
      <c r="C72" s="6"/>
      <c r="D72" s="6"/>
      <c r="E72" s="6"/>
      <c r="F72" s="6"/>
      <c r="G72" s="6"/>
      <c r="H72" s="6" t="s">
        <v>65</v>
      </c>
      <c r="I72" s="6"/>
      <c r="J72" s="72"/>
      <c r="K72" s="73"/>
      <c r="L72" s="74"/>
      <c r="M72" s="74"/>
      <c r="N72" s="74"/>
      <c r="O72" s="74"/>
      <c r="P72" s="74" t="s">
        <v>66</v>
      </c>
      <c r="Q72" s="74"/>
      <c r="R72" s="72"/>
      <c r="S72" s="72"/>
      <c r="T72" s="72"/>
      <c r="U72" s="72"/>
      <c r="V72" s="72"/>
      <c r="W72" s="72"/>
      <c r="X72" s="72"/>
      <c r="Y72" s="72"/>
      <c r="Z72" s="6"/>
      <c r="AA72" s="6" t="s">
        <v>72</v>
      </c>
      <c r="AB72" s="6"/>
      <c r="AC72" s="6"/>
      <c r="AD72" s="6"/>
      <c r="AE72" s="6"/>
      <c r="AF72" s="6"/>
      <c r="AG72" s="6"/>
    </row>
    <row r="73" spans="1:33" ht="28.9">
      <c r="A73" s="6"/>
      <c r="B73" s="6"/>
      <c r="C73" s="6"/>
      <c r="D73" s="6"/>
      <c r="E73" s="6"/>
      <c r="F73" s="6"/>
      <c r="G73" s="6"/>
      <c r="H73" s="6"/>
      <c r="I73" s="6"/>
      <c r="J73" s="72"/>
      <c r="K73" s="73"/>
      <c r="L73" s="74"/>
      <c r="M73" s="74"/>
      <c r="N73" s="74"/>
      <c r="O73" s="74"/>
      <c r="P73" s="74" t="s">
        <v>68</v>
      </c>
      <c r="Q73" s="74"/>
      <c r="R73" s="72"/>
      <c r="S73" s="72"/>
      <c r="T73" s="72"/>
      <c r="U73" s="72"/>
      <c r="V73" s="72"/>
      <c r="W73" s="72"/>
      <c r="X73" s="72"/>
      <c r="Y73" s="72"/>
      <c r="Z73" s="6"/>
      <c r="AA73" s="6"/>
      <c r="AB73" s="6"/>
      <c r="AC73" s="6"/>
      <c r="AD73" s="6"/>
      <c r="AE73" s="6"/>
      <c r="AF73" s="6"/>
    </row>
    <row r="74" spans="1:33" ht="28.9">
      <c r="A74" s="6"/>
      <c r="B74" s="6"/>
      <c r="C74" s="6"/>
      <c r="D74" s="6"/>
      <c r="E74" s="6"/>
      <c r="F74" s="6"/>
      <c r="G74" s="6"/>
      <c r="H74" s="6"/>
      <c r="I74" s="6"/>
      <c r="J74" s="72"/>
      <c r="K74" s="73"/>
      <c r="L74" s="74"/>
      <c r="M74" s="74"/>
      <c r="N74" s="74"/>
      <c r="O74" s="74"/>
      <c r="P74" s="74"/>
      <c r="Q74" s="74"/>
      <c r="R74" s="72"/>
      <c r="S74" s="72"/>
      <c r="T74" s="72"/>
      <c r="U74" s="72"/>
      <c r="V74" s="72"/>
      <c r="W74" s="72"/>
      <c r="X74" s="72"/>
      <c r="Y74" s="72"/>
      <c r="Z74" s="6"/>
      <c r="AA74" s="6"/>
      <c r="AB74" s="6"/>
      <c r="AC74" s="6"/>
      <c r="AD74" s="6"/>
      <c r="AE74" s="6"/>
      <c r="AF74" s="6"/>
    </row>
    <row r="75" spans="1:33" ht="28.9">
      <c r="A75" s="6"/>
      <c r="B75" s="6"/>
      <c r="C75" s="6"/>
      <c r="D75" s="6"/>
      <c r="E75" s="6"/>
      <c r="F75" s="6"/>
      <c r="G75" s="6"/>
      <c r="H75" s="6"/>
      <c r="I75" s="6"/>
      <c r="J75" s="72"/>
      <c r="K75" s="73"/>
      <c r="L75" s="74"/>
      <c r="M75" s="74"/>
      <c r="N75" s="74"/>
      <c r="O75" s="74"/>
      <c r="P75" s="74"/>
      <c r="Q75" s="74"/>
      <c r="R75" s="72"/>
      <c r="S75" s="72"/>
      <c r="T75" s="72"/>
      <c r="U75" s="72"/>
      <c r="V75" s="72"/>
      <c r="W75" s="72"/>
      <c r="X75" s="72"/>
      <c r="Y75" s="72"/>
      <c r="Z75" s="6"/>
      <c r="AA75" s="6"/>
      <c r="AB75" s="6"/>
      <c r="AC75" s="6"/>
      <c r="AD75" s="6"/>
      <c r="AE75" s="6"/>
      <c r="AF75" s="6"/>
    </row>
    <row r="76" spans="1:33" ht="28.9">
      <c r="A76" s="6"/>
      <c r="B76" s="6"/>
      <c r="C76" s="6"/>
      <c r="D76" s="6"/>
      <c r="E76" s="6"/>
      <c r="F76" s="6"/>
      <c r="G76" s="6"/>
      <c r="H76" s="6"/>
      <c r="I76" s="6"/>
      <c r="J76" s="72"/>
      <c r="K76" s="73"/>
      <c r="L76" s="74"/>
      <c r="M76" s="74"/>
      <c r="N76" s="74"/>
      <c r="O76" s="74"/>
      <c r="P76" s="74"/>
      <c r="Q76" s="74"/>
      <c r="R76" s="72"/>
      <c r="S76" s="72"/>
      <c r="T76" s="72"/>
      <c r="U76" s="72"/>
      <c r="V76" s="72"/>
      <c r="W76" s="72"/>
      <c r="X76" s="72"/>
      <c r="Y76" s="72"/>
      <c r="Z76" s="6"/>
      <c r="AA76" s="6"/>
      <c r="AB76" s="6"/>
      <c r="AC76" s="6"/>
      <c r="AD76" s="6"/>
      <c r="AE76" s="6"/>
      <c r="AF76" s="6"/>
    </row>
    <row r="77" spans="1:33">
      <c r="A77" s="680"/>
      <c r="B77" s="681"/>
      <c r="C77" s="681"/>
      <c r="D77" s="681"/>
      <c r="E77" s="681"/>
      <c r="F77" s="681"/>
      <c r="G77" s="681"/>
      <c r="H77" s="681"/>
      <c r="I77" s="681"/>
      <c r="J77" s="681"/>
      <c r="K77" s="681"/>
      <c r="L77" s="681"/>
      <c r="M77" s="681"/>
      <c r="N77" s="681"/>
      <c r="O77" s="681"/>
      <c r="P77" s="681"/>
      <c r="Q77" s="681"/>
      <c r="R77" s="681"/>
      <c r="S77" s="681"/>
      <c r="T77" s="681"/>
      <c r="U77" s="681"/>
      <c r="V77" s="681"/>
      <c r="W77" s="681"/>
      <c r="X77" s="681"/>
      <c r="Y77" s="681"/>
      <c r="Z77" s="681"/>
      <c r="AA77" s="681"/>
      <c r="AB77" s="681"/>
      <c r="AC77" s="681"/>
      <c r="AD77" s="681"/>
      <c r="AE77" s="681"/>
      <c r="AF77" s="681"/>
    </row>
    <row r="78" spans="1:33">
      <c r="A78" s="681"/>
      <c r="B78" s="681"/>
      <c r="C78" s="681"/>
      <c r="D78" s="681"/>
      <c r="E78" s="681"/>
      <c r="F78" s="681"/>
      <c r="G78" s="681"/>
      <c r="H78" s="681"/>
      <c r="I78" s="681"/>
      <c r="J78" s="681"/>
      <c r="K78" s="681"/>
      <c r="L78" s="681"/>
      <c r="M78" s="681"/>
      <c r="N78" s="681"/>
      <c r="O78" s="681"/>
      <c r="P78" s="681"/>
      <c r="Q78" s="681"/>
      <c r="R78" s="681"/>
      <c r="S78" s="681"/>
      <c r="T78" s="681"/>
      <c r="U78" s="681"/>
      <c r="V78" s="681"/>
      <c r="W78" s="681"/>
      <c r="X78" s="681"/>
      <c r="Y78" s="681"/>
      <c r="Z78" s="681"/>
      <c r="AA78" s="681"/>
      <c r="AB78" s="681"/>
      <c r="AC78" s="681"/>
      <c r="AD78" s="681"/>
      <c r="AE78" s="681"/>
      <c r="AF78" s="681"/>
    </row>
    <row r="79" spans="1:33">
      <c r="A79" s="704"/>
      <c r="B79" s="704"/>
      <c r="C79" s="704"/>
      <c r="D79" s="704"/>
      <c r="E79" s="704"/>
      <c r="F79" s="704"/>
      <c r="G79" s="704"/>
      <c r="H79" s="704"/>
      <c r="I79" s="704"/>
      <c r="J79" s="704"/>
      <c r="K79" s="704"/>
      <c r="L79" s="704"/>
      <c r="M79" s="704"/>
      <c r="N79" s="704"/>
      <c r="O79" s="704"/>
      <c r="P79" s="704"/>
      <c r="Q79" s="704"/>
      <c r="R79" s="704"/>
      <c r="S79" s="704"/>
      <c r="T79" s="704"/>
      <c r="U79" s="704"/>
      <c r="V79" s="704"/>
      <c r="W79" s="704"/>
      <c r="X79" s="704"/>
      <c r="Y79" s="704"/>
      <c r="Z79" s="704"/>
      <c r="AA79" s="704"/>
      <c r="AB79" s="704"/>
      <c r="AC79" s="704"/>
      <c r="AD79" s="704"/>
      <c r="AE79" s="704"/>
      <c r="AF79" s="704"/>
    </row>
    <row r="80" spans="1:33">
      <c r="A80" s="704"/>
      <c r="B80" s="704"/>
      <c r="C80" s="704"/>
      <c r="D80" s="704"/>
      <c r="E80" s="704"/>
      <c r="F80" s="704"/>
      <c r="G80" s="704"/>
      <c r="H80" s="704"/>
      <c r="I80" s="704"/>
      <c r="J80" s="704"/>
      <c r="K80" s="704"/>
      <c r="L80" s="704"/>
      <c r="M80" s="704"/>
      <c r="N80" s="704"/>
      <c r="O80" s="704"/>
      <c r="P80" s="704"/>
      <c r="Q80" s="704"/>
      <c r="R80" s="704"/>
      <c r="S80" s="704"/>
      <c r="T80" s="704"/>
      <c r="U80" s="704"/>
      <c r="V80" s="704"/>
      <c r="W80" s="704"/>
      <c r="X80" s="704"/>
      <c r="Y80" s="704"/>
      <c r="Z80" s="704"/>
      <c r="AA80" s="704"/>
      <c r="AB80" s="704"/>
      <c r="AC80" s="704"/>
      <c r="AD80" s="704"/>
      <c r="AE80" s="704"/>
      <c r="AF80" s="704"/>
    </row>
  </sheetData>
  <mergeCells count="3">
    <mergeCell ref="A60:A61"/>
    <mergeCell ref="X65:AG65"/>
    <mergeCell ref="A77:AF80"/>
  </mergeCells>
  <pageMargins left="0.7" right="0.7" top="0.75" bottom="0.75" header="0.3" footer="0.3"/>
  <pageSetup paperSize="9" orientation="landscape"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CB29-183F-0345-BA15-346806479A94}">
  <dimension ref="A1:CW79"/>
  <sheetViews>
    <sheetView showGridLines="0" zoomScale="44" zoomScaleNormal="61" workbookViewId="0">
      <selection activeCell="Z19" sqref="Z19"/>
    </sheetView>
  </sheetViews>
  <sheetFormatPr defaultColWidth="8.7109375" defaultRowHeight="14.45"/>
  <cols>
    <col min="1" max="1" width="19.7109375" customWidth="1"/>
    <col min="4" max="4" width="8.7109375" style="1"/>
    <col min="18" max="18" width="9.42578125" customWidth="1"/>
    <col min="32" max="32" width="13.140625" bestFit="1" customWidth="1"/>
    <col min="33" max="33" width="18.7109375" customWidth="1"/>
    <col min="36" max="36" width="11.7109375" bestFit="1" customWidth="1"/>
  </cols>
  <sheetData>
    <row r="1" spans="1:38" ht="28.9" thickTop="1" thickBot="1">
      <c r="A1" s="185" t="s">
        <v>0</v>
      </c>
      <c r="B1" s="200">
        <v>1</v>
      </c>
      <c r="C1" s="281">
        <v>2</v>
      </c>
      <c r="D1" s="281">
        <v>3</v>
      </c>
      <c r="E1" s="282">
        <v>4</v>
      </c>
      <c r="F1" s="281">
        <v>5</v>
      </c>
      <c r="G1" s="281">
        <v>6</v>
      </c>
      <c r="H1" s="140">
        <v>7</v>
      </c>
      <c r="I1" s="140">
        <v>8</v>
      </c>
      <c r="J1" s="281">
        <v>9</v>
      </c>
      <c r="K1" s="281">
        <v>10</v>
      </c>
      <c r="L1" s="283">
        <v>11</v>
      </c>
      <c r="M1" s="415">
        <v>12</v>
      </c>
      <c r="N1" s="281">
        <v>13</v>
      </c>
      <c r="O1" s="140">
        <v>14</v>
      </c>
      <c r="P1" s="142">
        <v>15</v>
      </c>
      <c r="Q1" s="281">
        <v>16</v>
      </c>
      <c r="R1" s="283">
        <v>17</v>
      </c>
      <c r="S1" s="281">
        <v>18</v>
      </c>
      <c r="T1" s="281">
        <v>19</v>
      </c>
      <c r="U1" s="283">
        <v>20</v>
      </c>
      <c r="V1" s="140">
        <v>21</v>
      </c>
      <c r="W1" s="142">
        <v>22</v>
      </c>
      <c r="X1" s="281">
        <v>23</v>
      </c>
      <c r="Y1" s="283">
        <v>24</v>
      </c>
      <c r="Z1" s="281">
        <v>25</v>
      </c>
      <c r="AA1" s="402">
        <v>26</v>
      </c>
      <c r="AB1" s="281">
        <v>27</v>
      </c>
      <c r="AC1" s="142">
        <v>28</v>
      </c>
      <c r="AD1" s="140">
        <v>29</v>
      </c>
      <c r="AE1" s="285">
        <v>30</v>
      </c>
      <c r="AF1" s="555" t="s">
        <v>1</v>
      </c>
      <c r="AG1" s="567" t="s">
        <v>2</v>
      </c>
    </row>
    <row r="2" spans="1:38" ht="29.45" thickBot="1">
      <c r="A2" s="201" t="s">
        <v>80</v>
      </c>
      <c r="B2" s="160" t="s">
        <v>8</v>
      </c>
      <c r="C2" s="119" t="s">
        <v>9</v>
      </c>
      <c r="D2" s="120" t="s">
        <v>10</v>
      </c>
      <c r="E2" s="120" t="s">
        <v>4</v>
      </c>
      <c r="F2" s="120" t="s">
        <v>5</v>
      </c>
      <c r="G2" s="120" t="s">
        <v>6</v>
      </c>
      <c r="H2" s="346" t="s">
        <v>7</v>
      </c>
      <c r="I2" s="181" t="s">
        <v>8</v>
      </c>
      <c r="J2" s="119" t="s">
        <v>9</v>
      </c>
      <c r="K2" s="120" t="s">
        <v>10</v>
      </c>
      <c r="L2" s="120" t="s">
        <v>4</v>
      </c>
      <c r="M2" s="407" t="s">
        <v>5</v>
      </c>
      <c r="N2" s="120" t="s">
        <v>6</v>
      </c>
      <c r="O2" s="346" t="s">
        <v>7</v>
      </c>
      <c r="P2" s="181" t="s">
        <v>8</v>
      </c>
      <c r="Q2" s="119" t="s">
        <v>9</v>
      </c>
      <c r="R2" s="120" t="s">
        <v>10</v>
      </c>
      <c r="S2" s="120" t="s">
        <v>4</v>
      </c>
      <c r="T2" s="120" t="s">
        <v>5</v>
      </c>
      <c r="U2" s="120" t="s">
        <v>6</v>
      </c>
      <c r="V2" s="346" t="s">
        <v>7</v>
      </c>
      <c r="W2" s="181" t="s">
        <v>8</v>
      </c>
      <c r="X2" s="119" t="s">
        <v>9</v>
      </c>
      <c r="Y2" s="120" t="s">
        <v>10</v>
      </c>
      <c r="Z2" s="120" t="s">
        <v>4</v>
      </c>
      <c r="AA2" s="407" t="s">
        <v>5</v>
      </c>
      <c r="AB2" s="120" t="s">
        <v>6</v>
      </c>
      <c r="AC2" s="346" t="s">
        <v>7</v>
      </c>
      <c r="AD2" s="181" t="s">
        <v>8</v>
      </c>
      <c r="AE2" s="289" t="s">
        <v>9</v>
      </c>
      <c r="AF2" s="214">
        <f>SUM(AF5,AF8,AF11,AF17,AF20,AF23,AF26,AF29,AF32,AF35,AF38,AF41,AF44,AF47,AF50,AF53,AF56,AF59,AF62,AF65)</f>
        <v>58</v>
      </c>
      <c r="AG2" s="568" t="s">
        <v>11</v>
      </c>
    </row>
    <row r="3" spans="1:38" ht="28.9" thickBot="1">
      <c r="A3" s="146" t="s">
        <v>12</v>
      </c>
      <c r="B3" s="630"/>
      <c r="C3" s="219" t="s">
        <v>13</v>
      </c>
      <c r="D3" s="219" t="s">
        <v>13</v>
      </c>
      <c r="E3" s="219" t="s">
        <v>13</v>
      </c>
      <c r="F3" s="219" t="s">
        <v>13</v>
      </c>
      <c r="G3" s="219" t="s">
        <v>13</v>
      </c>
      <c r="H3" s="114"/>
      <c r="I3" s="114"/>
      <c r="J3" s="623" t="s">
        <v>13</v>
      </c>
      <c r="K3" s="623" t="s">
        <v>13</v>
      </c>
      <c r="L3" s="624" t="s">
        <v>13</v>
      </c>
      <c r="M3" s="625" t="s">
        <v>13</v>
      </c>
      <c r="N3" s="623" t="s">
        <v>13</v>
      </c>
      <c r="O3" s="623"/>
      <c r="P3" s="623"/>
      <c r="Q3" s="219" t="s">
        <v>13</v>
      </c>
      <c r="R3" s="219" t="s">
        <v>13</v>
      </c>
      <c r="S3" s="220" t="s">
        <v>13</v>
      </c>
      <c r="T3" s="219" t="s">
        <v>13</v>
      </c>
      <c r="U3" s="222" t="s">
        <v>13</v>
      </c>
      <c r="V3" s="114"/>
      <c r="W3" s="114"/>
      <c r="X3" s="623" t="s">
        <v>13</v>
      </c>
      <c r="Y3" s="623" t="s">
        <v>13</v>
      </c>
      <c r="Z3" s="624" t="s">
        <v>13</v>
      </c>
      <c r="AA3" s="625" t="s">
        <v>13</v>
      </c>
      <c r="AB3" s="623" t="s">
        <v>13</v>
      </c>
      <c r="AC3" s="623"/>
      <c r="AD3" s="623"/>
      <c r="AE3" s="221" t="s">
        <v>13</v>
      </c>
      <c r="AF3" s="556">
        <f t="shared" ref="AF3:AF15" si="0">SUM(B3:AE3)</f>
        <v>0</v>
      </c>
      <c r="AG3" s="477"/>
    </row>
    <row r="4" spans="1:38" ht="28.9" thickBot="1">
      <c r="A4" s="146" t="s">
        <v>14</v>
      </c>
      <c r="B4" s="193"/>
      <c r="C4" s="224">
        <v>7.5</v>
      </c>
      <c r="D4" s="224">
        <v>7.5</v>
      </c>
      <c r="E4" s="224">
        <v>7.5</v>
      </c>
      <c r="F4" s="224">
        <v>7.5</v>
      </c>
      <c r="G4" s="224">
        <v>7.5</v>
      </c>
      <c r="H4" s="103"/>
      <c r="I4" s="103"/>
      <c r="J4" s="224">
        <v>7.5</v>
      </c>
      <c r="K4" s="224">
        <v>7.5</v>
      </c>
      <c r="L4" s="224">
        <v>7.5</v>
      </c>
      <c r="M4" s="372">
        <v>7.5</v>
      </c>
      <c r="N4" s="224">
        <v>7.5</v>
      </c>
      <c r="O4" s="103"/>
      <c r="P4" s="103"/>
      <c r="Q4" s="224">
        <v>7.5</v>
      </c>
      <c r="R4" s="224">
        <v>7.5</v>
      </c>
      <c r="S4" s="224">
        <v>7.5</v>
      </c>
      <c r="T4" s="224">
        <v>7.5</v>
      </c>
      <c r="U4" s="224">
        <v>7.5</v>
      </c>
      <c r="V4" s="103"/>
      <c r="W4" s="103"/>
      <c r="X4" s="224">
        <v>7.5</v>
      </c>
      <c r="Y4" s="224">
        <v>7.5</v>
      </c>
      <c r="Z4" s="224">
        <v>7.5</v>
      </c>
      <c r="AA4" s="372">
        <v>7.5</v>
      </c>
      <c r="AB4" s="224">
        <v>7.5</v>
      </c>
      <c r="AC4" s="103"/>
      <c r="AD4" s="103"/>
      <c r="AE4" s="225">
        <v>7.5</v>
      </c>
      <c r="AF4" s="557">
        <f t="shared" si="0"/>
        <v>157.5</v>
      </c>
      <c r="AG4" s="477"/>
    </row>
    <row r="5" spans="1:38" ht="28.9" thickBot="1">
      <c r="A5" s="368" t="s">
        <v>15</v>
      </c>
      <c r="B5" s="196"/>
      <c r="C5" s="227"/>
      <c r="D5" s="227"/>
      <c r="E5" s="228"/>
      <c r="F5" s="227"/>
      <c r="G5" s="227"/>
      <c r="H5" s="133"/>
      <c r="I5" s="133"/>
      <c r="J5" s="227"/>
      <c r="K5" s="229"/>
      <c r="L5" s="227"/>
      <c r="M5" s="380"/>
      <c r="N5" s="227"/>
      <c r="O5" s="134"/>
      <c r="P5" s="133"/>
      <c r="Q5" s="229"/>
      <c r="R5" s="227"/>
      <c r="S5" s="227"/>
      <c r="T5" s="229"/>
      <c r="U5" s="227"/>
      <c r="V5" s="134"/>
      <c r="W5" s="133"/>
      <c r="X5" s="230"/>
      <c r="Y5" s="227"/>
      <c r="Z5" s="231"/>
      <c r="AA5" s="406"/>
      <c r="AB5" s="232"/>
      <c r="AC5" s="139"/>
      <c r="AD5" s="137"/>
      <c r="AE5" s="231"/>
      <c r="AF5" s="558">
        <f t="shared" si="0"/>
        <v>0</v>
      </c>
      <c r="AG5" s="478"/>
    </row>
    <row r="6" spans="1:38" ht="29.45" thickBot="1">
      <c r="A6" s="146" t="s">
        <v>16</v>
      </c>
      <c r="B6" s="195"/>
      <c r="C6" s="623" t="s">
        <v>13</v>
      </c>
      <c r="D6" s="623" t="s">
        <v>13</v>
      </c>
      <c r="E6" s="623" t="s">
        <v>13</v>
      </c>
      <c r="F6" s="623" t="s">
        <v>13</v>
      </c>
      <c r="G6" s="623" t="s">
        <v>13</v>
      </c>
      <c r="H6" s="623"/>
      <c r="I6" s="623"/>
      <c r="J6" s="219" t="s">
        <v>13</v>
      </c>
      <c r="K6" s="219" t="s">
        <v>13</v>
      </c>
      <c r="L6" s="220" t="s">
        <v>13</v>
      </c>
      <c r="M6" s="416" t="s">
        <v>13</v>
      </c>
      <c r="N6" s="219" t="s">
        <v>13</v>
      </c>
      <c r="O6" s="114"/>
      <c r="P6" s="114"/>
      <c r="Q6" s="623" t="s">
        <v>13</v>
      </c>
      <c r="R6" s="623" t="s">
        <v>13</v>
      </c>
      <c r="S6" s="624" t="s">
        <v>13</v>
      </c>
      <c r="T6" s="623" t="s">
        <v>13</v>
      </c>
      <c r="U6" s="626" t="s">
        <v>13</v>
      </c>
      <c r="V6" s="623"/>
      <c r="W6" s="623"/>
      <c r="X6" s="219" t="s">
        <v>13</v>
      </c>
      <c r="Y6" s="219" t="s">
        <v>13</v>
      </c>
      <c r="Z6" s="220" t="s">
        <v>13</v>
      </c>
      <c r="AA6" s="416" t="s">
        <v>13</v>
      </c>
      <c r="AB6" s="219" t="s">
        <v>13</v>
      </c>
      <c r="AC6" s="114"/>
      <c r="AD6" s="114"/>
      <c r="AE6" s="625" t="s">
        <v>13</v>
      </c>
      <c r="AF6" s="556">
        <f t="shared" si="0"/>
        <v>0</v>
      </c>
      <c r="AG6" s="569"/>
      <c r="AJ6" s="209"/>
      <c r="AK6" s="210"/>
      <c r="AL6" s="211"/>
    </row>
    <row r="7" spans="1:38" ht="29.45" thickBot="1">
      <c r="A7" s="146" t="s">
        <v>19</v>
      </c>
      <c r="B7" s="193"/>
      <c r="C7" s="224">
        <v>7.5</v>
      </c>
      <c r="D7" s="224">
        <v>7.5</v>
      </c>
      <c r="E7" s="224">
        <v>7.5</v>
      </c>
      <c r="F7" s="224">
        <v>7.5</v>
      </c>
      <c r="G7" s="224">
        <v>7.5</v>
      </c>
      <c r="H7" s="103"/>
      <c r="I7" s="103"/>
      <c r="J7" s="224">
        <v>7.5</v>
      </c>
      <c r="K7" s="224">
        <v>7.5</v>
      </c>
      <c r="L7" s="224">
        <v>7.5</v>
      </c>
      <c r="M7" s="372">
        <v>7.5</v>
      </c>
      <c r="N7" s="224">
        <v>7.5</v>
      </c>
      <c r="O7" s="103"/>
      <c r="P7" s="103"/>
      <c r="Q7" s="224">
        <v>7.5</v>
      </c>
      <c r="R7" s="224">
        <v>7.5</v>
      </c>
      <c r="S7" s="224">
        <v>7.5</v>
      </c>
      <c r="T7" s="224">
        <v>7.5</v>
      </c>
      <c r="U7" s="224">
        <v>7.5</v>
      </c>
      <c r="V7" s="103"/>
      <c r="W7" s="103"/>
      <c r="X7" s="224">
        <v>7.5</v>
      </c>
      <c r="Y7" s="224">
        <v>7.5</v>
      </c>
      <c r="Z7" s="224">
        <v>7.5</v>
      </c>
      <c r="AA7" s="372">
        <v>7.5</v>
      </c>
      <c r="AB7" s="224">
        <v>7.5</v>
      </c>
      <c r="AC7" s="103"/>
      <c r="AD7" s="103"/>
      <c r="AE7" s="225">
        <v>7.5</v>
      </c>
      <c r="AF7" s="557">
        <f t="shared" si="0"/>
        <v>157.5</v>
      </c>
      <c r="AG7" s="570">
        <f>SUM(AF7-AF67)</f>
        <v>-2.5</v>
      </c>
      <c r="AJ7" s="210"/>
      <c r="AK7" s="210"/>
      <c r="AL7" s="212"/>
    </row>
    <row r="8" spans="1:38" ht="29.45" thickBot="1">
      <c r="A8" s="368" t="s">
        <v>20</v>
      </c>
      <c r="B8" s="196"/>
      <c r="C8" s="227"/>
      <c r="D8" s="227"/>
      <c r="E8" s="228"/>
      <c r="F8" s="227"/>
      <c r="G8" s="227"/>
      <c r="H8" s="133"/>
      <c r="I8" s="133"/>
      <c r="J8" s="227"/>
      <c r="K8" s="229"/>
      <c r="L8" s="227"/>
      <c r="M8" s="380"/>
      <c r="N8" s="227"/>
      <c r="O8" s="134"/>
      <c r="P8" s="133"/>
      <c r="Q8" s="229"/>
      <c r="R8" s="227"/>
      <c r="S8" s="227"/>
      <c r="T8" s="229"/>
      <c r="U8" s="227"/>
      <c r="V8" s="134"/>
      <c r="W8" s="133"/>
      <c r="X8" s="230"/>
      <c r="Y8" s="227"/>
      <c r="Z8" s="231"/>
      <c r="AA8" s="406"/>
      <c r="AB8" s="232"/>
      <c r="AC8" s="139"/>
      <c r="AD8" s="137"/>
      <c r="AE8" s="231"/>
      <c r="AF8" s="558">
        <f t="shared" si="0"/>
        <v>0</v>
      </c>
      <c r="AG8" s="571"/>
      <c r="AJ8" s="210"/>
      <c r="AK8" s="210"/>
      <c r="AL8" s="212"/>
    </row>
    <row r="9" spans="1:38" ht="29.45" thickBot="1">
      <c r="A9" s="146" t="s">
        <v>21</v>
      </c>
      <c r="B9" s="436" t="s">
        <v>18</v>
      </c>
      <c r="C9" s="437"/>
      <c r="D9" s="437"/>
      <c r="E9" s="438"/>
      <c r="F9" s="239"/>
      <c r="G9" s="437" t="s">
        <v>18</v>
      </c>
      <c r="H9" s="439" t="s">
        <v>18</v>
      </c>
      <c r="I9" s="439"/>
      <c r="J9" s="437"/>
      <c r="K9" s="437"/>
      <c r="L9" s="239"/>
      <c r="M9" s="440" t="s">
        <v>18</v>
      </c>
      <c r="N9" s="437" t="s">
        <v>18</v>
      </c>
      <c r="O9" s="439"/>
      <c r="P9" s="439"/>
      <c r="Q9" s="437"/>
      <c r="R9" s="437"/>
      <c r="S9" s="239" t="s">
        <v>18</v>
      </c>
      <c r="T9" s="441" t="s">
        <v>18</v>
      </c>
      <c r="U9" s="442"/>
      <c r="V9" s="439"/>
      <c r="W9" s="439"/>
      <c r="X9" s="442"/>
      <c r="Y9" s="442" t="s">
        <v>18</v>
      </c>
      <c r="Z9" s="239" t="s">
        <v>18</v>
      </c>
      <c r="AA9" s="404"/>
      <c r="AB9" s="239"/>
      <c r="AC9" s="443"/>
      <c r="AD9" s="443"/>
      <c r="AE9" s="444" t="s">
        <v>18</v>
      </c>
      <c r="AF9" s="556">
        <f t="shared" si="0"/>
        <v>0</v>
      </c>
      <c r="AG9" s="572"/>
      <c r="AJ9" s="210"/>
      <c r="AK9" s="210"/>
      <c r="AL9" s="212"/>
    </row>
    <row r="10" spans="1:38" ht="28.9" thickBot="1">
      <c r="A10" s="146" t="s">
        <v>22</v>
      </c>
      <c r="B10" s="193">
        <v>15</v>
      </c>
      <c r="C10" s="224">
        <v>0.5</v>
      </c>
      <c r="D10" s="224"/>
      <c r="E10" s="224"/>
      <c r="F10" s="246"/>
      <c r="G10" s="246">
        <v>15</v>
      </c>
      <c r="H10" s="103">
        <v>15</v>
      </c>
      <c r="I10" s="103">
        <v>0.5</v>
      </c>
      <c r="J10" s="224"/>
      <c r="K10" s="224"/>
      <c r="L10" s="246"/>
      <c r="M10" s="411">
        <v>15</v>
      </c>
      <c r="N10" s="246">
        <v>15</v>
      </c>
      <c r="O10" s="103">
        <v>0.5</v>
      </c>
      <c r="P10" s="103"/>
      <c r="Q10" s="224"/>
      <c r="R10" s="224"/>
      <c r="S10" s="246">
        <v>15</v>
      </c>
      <c r="T10" s="248">
        <v>15</v>
      </c>
      <c r="U10" s="246">
        <v>0.5</v>
      </c>
      <c r="V10" s="103"/>
      <c r="W10" s="103"/>
      <c r="X10" s="224"/>
      <c r="Y10" s="224">
        <v>15</v>
      </c>
      <c r="Z10" s="248">
        <v>15</v>
      </c>
      <c r="AA10" s="411">
        <v>5.5</v>
      </c>
      <c r="AB10" s="246"/>
      <c r="AC10" s="103"/>
      <c r="AD10" s="103"/>
      <c r="AE10" s="225">
        <v>15</v>
      </c>
      <c r="AF10" s="557">
        <f t="shared" si="0"/>
        <v>157.5</v>
      </c>
      <c r="AG10" s="570">
        <f>SUM(AF10-AF67)</f>
        <v>-2.5</v>
      </c>
    </row>
    <row r="11" spans="1:38" ht="28.9" thickBot="1">
      <c r="A11" s="368" t="s">
        <v>23</v>
      </c>
      <c r="B11" s="196">
        <v>1</v>
      </c>
      <c r="C11" s="227"/>
      <c r="D11" s="227"/>
      <c r="E11" s="228"/>
      <c r="F11" s="227"/>
      <c r="G11" s="227">
        <v>1</v>
      </c>
      <c r="H11" s="133">
        <v>1</v>
      </c>
      <c r="I11" s="133"/>
      <c r="J11" s="227"/>
      <c r="K11" s="229"/>
      <c r="L11" s="227"/>
      <c r="M11" s="380">
        <v>1</v>
      </c>
      <c r="N11" s="227">
        <v>1</v>
      </c>
      <c r="O11" s="133"/>
      <c r="P11" s="135"/>
      <c r="Q11" s="229"/>
      <c r="R11" s="227"/>
      <c r="S11" s="227">
        <v>1</v>
      </c>
      <c r="T11" s="229">
        <v>1</v>
      </c>
      <c r="U11" s="227"/>
      <c r="V11" s="134"/>
      <c r="W11" s="133"/>
      <c r="X11" s="229"/>
      <c r="Y11" s="227">
        <v>1</v>
      </c>
      <c r="Z11" s="229">
        <v>1</v>
      </c>
      <c r="AA11" s="395"/>
      <c r="AB11" s="227"/>
      <c r="AC11" s="134"/>
      <c r="AD11" s="133"/>
      <c r="AE11" s="230">
        <v>1</v>
      </c>
      <c r="AF11" s="558">
        <f t="shared" si="0"/>
        <v>10</v>
      </c>
      <c r="AG11" s="569"/>
    </row>
    <row r="12" spans="1:38" ht="28.9" hidden="1" thickBot="1">
      <c r="A12" s="146"/>
      <c r="B12" s="198"/>
      <c r="C12" s="250"/>
      <c r="D12" s="251"/>
      <c r="E12" s="246"/>
      <c r="F12" s="246"/>
      <c r="G12" s="251"/>
      <c r="H12" s="102"/>
      <c r="I12" s="102"/>
      <c r="J12" s="251"/>
      <c r="K12" s="251"/>
      <c r="L12" s="246"/>
      <c r="M12" s="411"/>
      <c r="N12" s="251"/>
      <c r="O12" s="102"/>
      <c r="P12" s="105"/>
      <c r="Q12" s="246"/>
      <c r="R12" s="252"/>
      <c r="S12" s="246"/>
      <c r="T12" s="222"/>
      <c r="U12" s="253"/>
      <c r="V12" s="105"/>
      <c r="W12" s="105"/>
      <c r="X12" s="253"/>
      <c r="Y12" s="222"/>
      <c r="Z12" s="222"/>
      <c r="AA12" s="383"/>
      <c r="AB12" s="222"/>
      <c r="AC12" s="107"/>
      <c r="AD12" s="107"/>
      <c r="AE12" s="252"/>
      <c r="AF12" s="556">
        <f t="shared" si="0"/>
        <v>0</v>
      </c>
      <c r="AG12" s="573"/>
    </row>
    <row r="13" spans="1:38" ht="28.9" hidden="1" thickBot="1">
      <c r="A13" s="146"/>
      <c r="B13" s="197"/>
      <c r="C13" s="248"/>
      <c r="D13" s="246"/>
      <c r="E13" s="246"/>
      <c r="F13" s="246"/>
      <c r="G13" s="246"/>
      <c r="H13" s="108"/>
      <c r="I13" s="107"/>
      <c r="J13" s="246"/>
      <c r="K13" s="246"/>
      <c r="L13" s="246"/>
      <c r="M13" s="411"/>
      <c r="N13" s="246"/>
      <c r="O13" s="107"/>
      <c r="P13" s="108"/>
      <c r="Q13" s="246"/>
      <c r="R13" s="252"/>
      <c r="S13" s="246"/>
      <c r="T13" s="246"/>
      <c r="U13" s="248"/>
      <c r="V13" s="108"/>
      <c r="W13" s="108"/>
      <c r="X13" s="246"/>
      <c r="Y13" s="246"/>
      <c r="Z13" s="246"/>
      <c r="AA13" s="381"/>
      <c r="AB13" s="246"/>
      <c r="AC13" s="107"/>
      <c r="AD13" s="107"/>
      <c r="AE13" s="252"/>
      <c r="AF13" s="557">
        <f t="shared" si="0"/>
        <v>0</v>
      </c>
      <c r="AG13" s="570">
        <v>2</v>
      </c>
    </row>
    <row r="14" spans="1:38" ht="28.9" hidden="1" thickBot="1">
      <c r="A14" s="368"/>
      <c r="B14" s="196"/>
      <c r="C14" s="227"/>
      <c r="D14" s="227"/>
      <c r="E14" s="228"/>
      <c r="F14" s="227"/>
      <c r="G14" s="227"/>
      <c r="H14" s="133"/>
      <c r="I14" s="133"/>
      <c r="J14" s="227"/>
      <c r="K14" s="229"/>
      <c r="L14" s="227"/>
      <c r="M14" s="380"/>
      <c r="N14" s="227"/>
      <c r="O14" s="134"/>
      <c r="P14" s="133"/>
      <c r="Q14" s="229"/>
      <c r="R14" s="227"/>
      <c r="S14" s="227"/>
      <c r="T14" s="229"/>
      <c r="U14" s="227"/>
      <c r="V14" s="134"/>
      <c r="W14" s="133"/>
      <c r="X14" s="229"/>
      <c r="Y14" s="227"/>
      <c r="Z14" s="227"/>
      <c r="AA14" s="395"/>
      <c r="AB14" s="227"/>
      <c r="AC14" s="134"/>
      <c r="AD14" s="133"/>
      <c r="AE14" s="230"/>
      <c r="AF14" s="558">
        <f t="shared" si="0"/>
        <v>0</v>
      </c>
      <c r="AG14" s="569"/>
    </row>
    <row r="15" spans="1:38" ht="28.9" thickBot="1">
      <c r="A15" s="146" t="s">
        <v>24</v>
      </c>
      <c r="B15" s="446"/>
      <c r="C15" s="300"/>
      <c r="D15" s="300"/>
      <c r="E15" s="300" t="s">
        <v>18</v>
      </c>
      <c r="F15" s="297" t="s">
        <v>18</v>
      </c>
      <c r="G15" s="220"/>
      <c r="H15" s="425"/>
      <c r="I15" s="122"/>
      <c r="J15" s="300"/>
      <c r="K15" s="297" t="s">
        <v>18</v>
      </c>
      <c r="L15" s="297" t="s">
        <v>18</v>
      </c>
      <c r="M15" s="445"/>
      <c r="N15" s="220"/>
      <c r="O15" s="122"/>
      <c r="P15" s="116"/>
      <c r="Q15" s="297" t="s">
        <v>18</v>
      </c>
      <c r="R15" s="297" t="s">
        <v>18</v>
      </c>
      <c r="S15" s="429"/>
      <c r="T15" s="220"/>
      <c r="U15" s="220"/>
      <c r="V15" s="116"/>
      <c r="W15" s="117" t="s">
        <v>18</v>
      </c>
      <c r="X15" s="297" t="s">
        <v>18</v>
      </c>
      <c r="Y15" s="220"/>
      <c r="Z15" s="423"/>
      <c r="AA15" s="445"/>
      <c r="AB15" s="297"/>
      <c r="AC15" s="117" t="s">
        <v>18</v>
      </c>
      <c r="AD15" s="117" t="s">
        <v>18</v>
      </c>
      <c r="AE15" s="432"/>
      <c r="AF15" s="556">
        <f t="shared" si="0"/>
        <v>0</v>
      </c>
      <c r="AG15" s="573"/>
    </row>
    <row r="16" spans="1:38" ht="28.9" thickBot="1">
      <c r="A16" s="146" t="s">
        <v>25</v>
      </c>
      <c r="B16" s="197"/>
      <c r="C16" s="248"/>
      <c r="D16" s="248"/>
      <c r="E16" s="248">
        <v>15</v>
      </c>
      <c r="F16" s="246">
        <v>15</v>
      </c>
      <c r="G16" s="246">
        <v>0.5</v>
      </c>
      <c r="H16" s="107"/>
      <c r="I16" s="108"/>
      <c r="J16" s="248"/>
      <c r="K16" s="246">
        <v>15</v>
      </c>
      <c r="L16" s="246">
        <v>15</v>
      </c>
      <c r="M16" s="411">
        <v>5.5</v>
      </c>
      <c r="N16" s="246"/>
      <c r="O16" s="108"/>
      <c r="P16" s="107"/>
      <c r="Q16" s="246">
        <v>15</v>
      </c>
      <c r="R16" s="244">
        <v>15</v>
      </c>
      <c r="S16" s="246">
        <v>0.5</v>
      </c>
      <c r="T16" s="248"/>
      <c r="U16" s="246"/>
      <c r="V16" s="107"/>
      <c r="W16" s="108">
        <v>15</v>
      </c>
      <c r="X16" s="246">
        <v>15</v>
      </c>
      <c r="Y16" s="246">
        <v>0.5</v>
      </c>
      <c r="Z16" s="248"/>
      <c r="AA16" s="411">
        <v>5</v>
      </c>
      <c r="AB16" s="246"/>
      <c r="AC16" s="108">
        <v>15</v>
      </c>
      <c r="AD16" s="108">
        <v>15</v>
      </c>
      <c r="AE16" s="247">
        <v>0.5</v>
      </c>
      <c r="AF16" s="557">
        <f>SUM(B16:AE16)</f>
        <v>162.5</v>
      </c>
      <c r="AG16" s="570">
        <f>SUM(AF16-AF67)</f>
        <v>2.5</v>
      </c>
    </row>
    <row r="17" spans="1:101" ht="28.9" thickBot="1">
      <c r="A17" s="368" t="s">
        <v>23</v>
      </c>
      <c r="B17" s="196"/>
      <c r="C17" s="227"/>
      <c r="D17" s="227"/>
      <c r="E17" s="228">
        <v>1</v>
      </c>
      <c r="F17" s="227">
        <v>1</v>
      </c>
      <c r="G17" s="227"/>
      <c r="H17" s="133"/>
      <c r="I17" s="133"/>
      <c r="J17" s="227"/>
      <c r="K17" s="229">
        <v>1</v>
      </c>
      <c r="L17" s="227">
        <v>1</v>
      </c>
      <c r="M17" s="380"/>
      <c r="N17" s="227"/>
      <c r="O17" s="134"/>
      <c r="P17" s="133"/>
      <c r="Q17" s="229">
        <v>1</v>
      </c>
      <c r="R17" s="227">
        <v>1</v>
      </c>
      <c r="S17" s="227"/>
      <c r="T17" s="229"/>
      <c r="U17" s="227"/>
      <c r="V17" s="134"/>
      <c r="W17" s="133">
        <v>1</v>
      </c>
      <c r="X17" s="229">
        <v>1</v>
      </c>
      <c r="Y17" s="227"/>
      <c r="Z17" s="227"/>
      <c r="AA17" s="395"/>
      <c r="AB17" s="227"/>
      <c r="AC17" s="134">
        <v>1</v>
      </c>
      <c r="AD17" s="133">
        <v>1</v>
      </c>
      <c r="AE17" s="230"/>
      <c r="AF17" s="558">
        <f t="shared" ref="AF17:AF35" si="1">SUM(B17:AE17)</f>
        <v>10</v>
      </c>
      <c r="AG17" s="569"/>
    </row>
    <row r="18" spans="1:101" ht="28.9" thickBot="1">
      <c r="A18" s="173" t="s">
        <v>26</v>
      </c>
      <c r="B18" s="345"/>
      <c r="C18" s="220" t="s">
        <v>18</v>
      </c>
      <c r="D18" s="220" t="s">
        <v>18</v>
      </c>
      <c r="E18" s="220"/>
      <c r="F18" s="220"/>
      <c r="G18" s="220"/>
      <c r="H18" s="122"/>
      <c r="I18" s="122" t="s">
        <v>18</v>
      </c>
      <c r="J18" s="220" t="s">
        <v>18</v>
      </c>
      <c r="K18" s="220"/>
      <c r="L18" s="220"/>
      <c r="M18" s="445"/>
      <c r="N18" s="220"/>
      <c r="O18" s="122" t="s">
        <v>18</v>
      </c>
      <c r="P18" s="122" t="s">
        <v>18</v>
      </c>
      <c r="Q18" s="220"/>
      <c r="R18" s="220"/>
      <c r="S18" s="587"/>
      <c r="T18" s="587"/>
      <c r="U18" s="462">
        <v>2</v>
      </c>
      <c r="V18" s="462">
        <v>2</v>
      </c>
      <c r="W18" s="587"/>
      <c r="X18" s="587"/>
      <c r="Y18" s="220"/>
      <c r="Z18" s="220"/>
      <c r="AA18" s="445" t="s">
        <v>18</v>
      </c>
      <c r="AB18" s="220" t="s">
        <v>18</v>
      </c>
      <c r="AC18" s="122"/>
      <c r="AD18" s="122"/>
      <c r="AE18" s="293"/>
      <c r="AF18" s="556">
        <f t="shared" si="1"/>
        <v>4</v>
      </c>
      <c r="AG18" s="573"/>
    </row>
    <row r="19" spans="1:101" ht="33" customHeight="1" thickBot="1">
      <c r="A19" s="146" t="s">
        <v>27</v>
      </c>
      <c r="B19" s="193"/>
      <c r="C19" s="224">
        <v>15</v>
      </c>
      <c r="D19" s="224">
        <v>15</v>
      </c>
      <c r="E19" s="224">
        <v>0.5</v>
      </c>
      <c r="F19" s="224"/>
      <c r="G19" s="224"/>
      <c r="H19" s="103"/>
      <c r="I19" s="103">
        <v>15</v>
      </c>
      <c r="J19" s="224">
        <v>15</v>
      </c>
      <c r="K19" s="224">
        <v>0.5</v>
      </c>
      <c r="L19" s="224"/>
      <c r="M19" s="372">
        <v>5</v>
      </c>
      <c r="N19" s="224"/>
      <c r="O19" s="103">
        <v>15</v>
      </c>
      <c r="P19" s="103">
        <v>15</v>
      </c>
      <c r="Q19" s="224">
        <v>0.5</v>
      </c>
      <c r="R19" s="224"/>
      <c r="S19" s="619"/>
      <c r="T19" s="619"/>
      <c r="U19" s="619">
        <v>15</v>
      </c>
      <c r="V19" s="619">
        <v>15</v>
      </c>
      <c r="W19" s="619"/>
      <c r="X19" s="619"/>
      <c r="Y19" s="224"/>
      <c r="Z19" s="224"/>
      <c r="AA19" s="372">
        <v>15</v>
      </c>
      <c r="AB19" s="224">
        <v>15</v>
      </c>
      <c r="AC19" s="103">
        <v>0.5</v>
      </c>
      <c r="AD19" s="103"/>
      <c r="AE19" s="225"/>
      <c r="AF19" s="557">
        <f t="shared" si="1"/>
        <v>157</v>
      </c>
      <c r="AG19" s="570">
        <f>SUM(AF19-AF67)</f>
        <v>-3</v>
      </c>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row>
    <row r="20" spans="1:101" ht="30" customHeight="1" thickBot="1">
      <c r="A20" s="187" t="s">
        <v>28</v>
      </c>
      <c r="B20" s="196"/>
      <c r="C20" s="227">
        <v>1</v>
      </c>
      <c r="D20" s="227">
        <v>1</v>
      </c>
      <c r="E20" s="228"/>
      <c r="F20" s="227"/>
      <c r="G20" s="227"/>
      <c r="H20" s="133"/>
      <c r="I20" s="133">
        <v>1</v>
      </c>
      <c r="J20" s="227">
        <v>1</v>
      </c>
      <c r="K20" s="229"/>
      <c r="L20" s="227"/>
      <c r="M20" s="380"/>
      <c r="N20" s="227"/>
      <c r="O20" s="134">
        <v>1</v>
      </c>
      <c r="P20" s="133">
        <v>1</v>
      </c>
      <c r="Q20" s="229"/>
      <c r="R20" s="227"/>
      <c r="S20" s="453"/>
      <c r="T20" s="472"/>
      <c r="U20" s="453"/>
      <c r="V20" s="472"/>
      <c r="W20" s="453"/>
      <c r="X20" s="676"/>
      <c r="Y20" s="227"/>
      <c r="Z20" s="231"/>
      <c r="AA20" s="406">
        <v>1</v>
      </c>
      <c r="AB20" s="232">
        <v>1</v>
      </c>
      <c r="AC20" s="139"/>
      <c r="AD20" s="137"/>
      <c r="AE20" s="231"/>
      <c r="AF20" s="558">
        <f t="shared" si="1"/>
        <v>8</v>
      </c>
      <c r="AG20" s="569"/>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row>
    <row r="21" spans="1:101" ht="39" thickBot="1">
      <c r="A21" s="146" t="s">
        <v>29</v>
      </c>
      <c r="B21" s="197" t="s">
        <v>18</v>
      </c>
      <c r="C21" s="246" t="s">
        <v>18</v>
      </c>
      <c r="D21" s="246"/>
      <c r="E21" s="246"/>
      <c r="F21" s="246"/>
      <c r="G21" s="246"/>
      <c r="H21" s="108" t="s">
        <v>18</v>
      </c>
      <c r="I21" s="108" t="s">
        <v>18</v>
      </c>
      <c r="J21" s="246"/>
      <c r="K21" s="246"/>
      <c r="L21" s="248"/>
      <c r="M21" s="411"/>
      <c r="N21" s="246" t="s">
        <v>18</v>
      </c>
      <c r="O21" s="108" t="s">
        <v>18</v>
      </c>
      <c r="P21" s="108"/>
      <c r="Q21" s="252"/>
      <c r="R21" s="246"/>
      <c r="S21" s="246"/>
      <c r="T21" s="252" t="s">
        <v>18</v>
      </c>
      <c r="U21" s="246" t="s">
        <v>18</v>
      </c>
      <c r="V21" s="109"/>
      <c r="W21" s="108"/>
      <c r="X21" s="252"/>
      <c r="Y21" s="246"/>
      <c r="Z21" s="222" t="s">
        <v>18</v>
      </c>
      <c r="AA21" s="383" t="s">
        <v>18</v>
      </c>
      <c r="AB21" s="222"/>
      <c r="AC21" s="112"/>
      <c r="AD21" s="105"/>
      <c r="AE21" s="645"/>
      <c r="AF21" s="556">
        <f t="shared" si="1"/>
        <v>0</v>
      </c>
      <c r="AG21" s="573"/>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row>
    <row r="22" spans="1:101" ht="39" thickBot="1">
      <c r="A22" s="146" t="s">
        <v>30</v>
      </c>
      <c r="B22" s="197">
        <v>15</v>
      </c>
      <c r="C22" s="246">
        <v>15</v>
      </c>
      <c r="D22" s="246">
        <v>0.5</v>
      </c>
      <c r="E22" s="246"/>
      <c r="F22" s="246"/>
      <c r="G22" s="246"/>
      <c r="H22" s="108">
        <v>15</v>
      </c>
      <c r="I22" s="108">
        <v>15</v>
      </c>
      <c r="J22" s="246">
        <v>0.5</v>
      </c>
      <c r="K22" s="246"/>
      <c r="L22" s="248"/>
      <c r="M22" s="411">
        <v>4</v>
      </c>
      <c r="N22" s="246">
        <v>15</v>
      </c>
      <c r="O22" s="108">
        <v>15</v>
      </c>
      <c r="P22" s="108">
        <v>0.5</v>
      </c>
      <c r="Q22" s="252"/>
      <c r="R22" s="246"/>
      <c r="S22" s="246"/>
      <c r="T22" s="252">
        <v>15</v>
      </c>
      <c r="U22" s="246">
        <v>15</v>
      </c>
      <c r="V22" s="109">
        <v>0.5</v>
      </c>
      <c r="W22" s="108"/>
      <c r="X22" s="252"/>
      <c r="Y22" s="246"/>
      <c r="Z22" s="246">
        <v>15</v>
      </c>
      <c r="AA22" s="381">
        <v>15</v>
      </c>
      <c r="AB22" s="246">
        <v>0.5</v>
      </c>
      <c r="AC22" s="113"/>
      <c r="AD22" s="108"/>
      <c r="AE22" s="252"/>
      <c r="AF22" s="557">
        <f t="shared" si="1"/>
        <v>156.5</v>
      </c>
      <c r="AG22" s="570">
        <f>SUM(AF22-AF67)</f>
        <v>-3.5</v>
      </c>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row>
    <row r="23" spans="1:101" ht="28.15" customHeight="1" thickBot="1">
      <c r="A23" s="368" t="s">
        <v>28</v>
      </c>
      <c r="B23" s="196">
        <v>1</v>
      </c>
      <c r="C23" s="227">
        <v>1</v>
      </c>
      <c r="D23" s="227"/>
      <c r="E23" s="227"/>
      <c r="F23" s="227"/>
      <c r="G23" s="227"/>
      <c r="H23" s="133">
        <v>1</v>
      </c>
      <c r="I23" s="133">
        <v>1</v>
      </c>
      <c r="J23" s="227"/>
      <c r="K23" s="227"/>
      <c r="L23" s="228"/>
      <c r="M23" s="395"/>
      <c r="N23" s="227">
        <v>1</v>
      </c>
      <c r="O23" s="133">
        <v>1</v>
      </c>
      <c r="P23" s="133"/>
      <c r="Q23" s="229"/>
      <c r="R23" s="227"/>
      <c r="S23" s="227"/>
      <c r="T23" s="229">
        <v>1</v>
      </c>
      <c r="U23" s="227">
        <v>1</v>
      </c>
      <c r="V23" s="136"/>
      <c r="W23" s="133"/>
      <c r="X23" s="229"/>
      <c r="Y23" s="227"/>
      <c r="Z23" s="227">
        <v>1</v>
      </c>
      <c r="AA23" s="380">
        <v>1</v>
      </c>
      <c r="AB23" s="227"/>
      <c r="AC23" s="134"/>
      <c r="AD23" s="133"/>
      <c r="AE23" s="606"/>
      <c r="AF23" s="558">
        <f t="shared" si="1"/>
        <v>10</v>
      </c>
      <c r="AG23" s="569"/>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row>
    <row r="24" spans="1:101" ht="28.9" hidden="1" thickBot="1">
      <c r="A24" s="146"/>
      <c r="B24" s="345"/>
      <c r="C24" s="220"/>
      <c r="D24" s="220"/>
      <c r="E24" s="220"/>
      <c r="F24" s="220"/>
      <c r="G24" s="220"/>
      <c r="H24" s="122"/>
      <c r="I24" s="122"/>
      <c r="J24" s="220"/>
      <c r="K24" s="220"/>
      <c r="L24" s="220"/>
      <c r="M24" s="445"/>
      <c r="N24" s="220"/>
      <c r="O24" s="122"/>
      <c r="P24" s="122"/>
      <c r="Q24" s="220"/>
      <c r="R24" s="220"/>
      <c r="S24" s="220"/>
      <c r="T24" s="426"/>
      <c r="U24" s="220"/>
      <c r="V24" s="342"/>
      <c r="W24" s="122"/>
      <c r="X24" s="426"/>
      <c r="Y24" s="220"/>
      <c r="Z24" s="220"/>
      <c r="AA24" s="447"/>
      <c r="AB24" s="220"/>
      <c r="AC24" s="427"/>
      <c r="AD24" s="122"/>
      <c r="AE24" s="426"/>
      <c r="AF24" s="556">
        <f t="shared" si="1"/>
        <v>0</v>
      </c>
      <c r="AG24" s="573"/>
    </row>
    <row r="25" spans="1:101" ht="28.9" hidden="1" thickBot="1">
      <c r="A25" s="146"/>
      <c r="B25" s="197"/>
      <c r="C25" s="246"/>
      <c r="D25" s="246"/>
      <c r="E25" s="246"/>
      <c r="F25" s="246"/>
      <c r="G25" s="246"/>
      <c r="H25" s="108"/>
      <c r="I25" s="108"/>
      <c r="J25" s="246"/>
      <c r="K25" s="246"/>
      <c r="L25" s="246"/>
      <c r="M25" s="411"/>
      <c r="N25" s="246"/>
      <c r="O25" s="108"/>
      <c r="P25" s="108"/>
      <c r="Q25" s="246"/>
      <c r="R25" s="246"/>
      <c r="S25" s="246"/>
      <c r="T25" s="252"/>
      <c r="U25" s="246"/>
      <c r="V25" s="108"/>
      <c r="W25" s="108"/>
      <c r="X25" s="252"/>
      <c r="Y25" s="246"/>
      <c r="Z25" s="246"/>
      <c r="AA25" s="376"/>
      <c r="AB25" s="246"/>
      <c r="AC25" s="113"/>
      <c r="AD25" s="108"/>
      <c r="AE25" s="252"/>
      <c r="AF25" s="557">
        <f t="shared" si="1"/>
        <v>0</v>
      </c>
      <c r="AG25" s="570">
        <f>SUM(AF25-AF67)</f>
        <v>-160</v>
      </c>
    </row>
    <row r="26" spans="1:101" ht="28.9" hidden="1" thickBot="1">
      <c r="A26" s="368"/>
      <c r="B26" s="196"/>
      <c r="C26" s="227"/>
      <c r="D26" s="227"/>
      <c r="E26" s="227"/>
      <c r="F26" s="227"/>
      <c r="G26" s="227"/>
      <c r="H26" s="133"/>
      <c r="I26" s="133"/>
      <c r="J26" s="227"/>
      <c r="K26" s="227"/>
      <c r="L26" s="228"/>
      <c r="M26" s="395"/>
      <c r="N26" s="227"/>
      <c r="O26" s="133"/>
      <c r="P26" s="133"/>
      <c r="Q26" s="227"/>
      <c r="R26" s="227"/>
      <c r="S26" s="228"/>
      <c r="T26" s="229"/>
      <c r="U26" s="227"/>
      <c r="V26" s="136"/>
      <c r="W26" s="133"/>
      <c r="X26" s="229"/>
      <c r="Y26" s="227"/>
      <c r="Z26" s="227"/>
      <c r="AA26" s="380"/>
      <c r="AB26" s="227"/>
      <c r="AC26" s="134"/>
      <c r="AD26" s="133"/>
      <c r="AE26" s="229"/>
      <c r="AF26" s="558">
        <f t="shared" si="1"/>
        <v>0</v>
      </c>
      <c r="AG26" s="569"/>
    </row>
    <row r="27" spans="1:101" ht="28.9" thickBot="1">
      <c r="A27" s="465" t="s">
        <v>31</v>
      </c>
      <c r="B27" s="197"/>
      <c r="C27" s="246"/>
      <c r="D27" s="246"/>
      <c r="E27" s="246"/>
      <c r="F27" s="246" t="s">
        <v>18</v>
      </c>
      <c r="G27" s="248" t="s">
        <v>18</v>
      </c>
      <c r="H27" s="107"/>
      <c r="I27" s="108"/>
      <c r="J27" s="246"/>
      <c r="K27" s="246"/>
      <c r="L27" s="248" t="s">
        <v>18</v>
      </c>
      <c r="M27" s="375" t="s">
        <v>18</v>
      </c>
      <c r="N27" s="248"/>
      <c r="O27" s="108"/>
      <c r="P27" s="108"/>
      <c r="Q27" s="252"/>
      <c r="R27" s="246" t="s">
        <v>18</v>
      </c>
      <c r="S27" s="248" t="s">
        <v>18</v>
      </c>
      <c r="T27" s="248"/>
      <c r="U27" s="246"/>
      <c r="V27" s="340"/>
      <c r="W27" s="103"/>
      <c r="X27" s="248" t="s">
        <v>18</v>
      </c>
      <c r="Y27" s="248" t="s">
        <v>18</v>
      </c>
      <c r="Z27" s="248"/>
      <c r="AA27" s="376"/>
      <c r="AB27" s="246"/>
      <c r="AC27" s="108"/>
      <c r="AD27" s="108" t="s">
        <v>18</v>
      </c>
      <c r="AE27" s="220" t="s">
        <v>18</v>
      </c>
      <c r="AF27" s="556">
        <f t="shared" si="1"/>
        <v>0</v>
      </c>
      <c r="AG27" s="573"/>
    </row>
    <row r="28" spans="1:101" ht="34.15" customHeight="1" thickBot="1">
      <c r="A28" s="146" t="s">
        <v>33</v>
      </c>
      <c r="B28" s="197"/>
      <c r="C28" s="246"/>
      <c r="D28" s="246"/>
      <c r="E28" s="248"/>
      <c r="F28" s="246">
        <v>15</v>
      </c>
      <c r="G28" s="248">
        <v>15</v>
      </c>
      <c r="H28" s="107">
        <v>0.5</v>
      </c>
      <c r="I28" s="108"/>
      <c r="J28" s="246"/>
      <c r="K28" s="246"/>
      <c r="L28" s="246">
        <v>15</v>
      </c>
      <c r="M28" s="375">
        <v>15</v>
      </c>
      <c r="N28" s="248">
        <v>0.5</v>
      </c>
      <c r="O28" s="108"/>
      <c r="P28" s="108"/>
      <c r="Q28" s="246"/>
      <c r="R28" s="246">
        <v>15</v>
      </c>
      <c r="S28" s="248">
        <v>15</v>
      </c>
      <c r="T28" s="248">
        <v>0.5</v>
      </c>
      <c r="U28" s="246"/>
      <c r="V28" s="108"/>
      <c r="W28" s="107"/>
      <c r="X28" s="246">
        <v>15</v>
      </c>
      <c r="Y28" s="248">
        <v>15</v>
      </c>
      <c r="Z28" s="248">
        <v>0.5</v>
      </c>
      <c r="AA28" s="376">
        <v>4</v>
      </c>
      <c r="AB28" s="246"/>
      <c r="AC28" s="103"/>
      <c r="AD28" s="108">
        <v>15</v>
      </c>
      <c r="AE28" s="246">
        <v>15</v>
      </c>
      <c r="AF28" s="557">
        <f t="shared" si="1"/>
        <v>156</v>
      </c>
      <c r="AG28" s="570">
        <f>SUM(AF28-AF67)</f>
        <v>-4</v>
      </c>
      <c r="AH28" s="2"/>
    </row>
    <row r="29" spans="1:101" ht="37.15" thickBot="1">
      <c r="A29" s="188" t="s">
        <v>34</v>
      </c>
      <c r="B29" s="194"/>
      <c r="C29" s="304"/>
      <c r="D29" s="304"/>
      <c r="E29" s="305"/>
      <c r="F29" s="304">
        <v>1</v>
      </c>
      <c r="G29" s="227">
        <v>1</v>
      </c>
      <c r="H29" s="135"/>
      <c r="I29" s="133"/>
      <c r="J29" s="304"/>
      <c r="K29" s="304"/>
      <c r="L29" s="305">
        <v>1</v>
      </c>
      <c r="M29" s="373">
        <v>1</v>
      </c>
      <c r="N29" s="228"/>
      <c r="O29" s="133"/>
      <c r="P29" s="177"/>
      <c r="Q29" s="304"/>
      <c r="R29" s="304">
        <v>1</v>
      </c>
      <c r="S29" s="227">
        <v>1</v>
      </c>
      <c r="T29" s="228"/>
      <c r="U29" s="227"/>
      <c r="V29" s="343"/>
      <c r="W29" s="177"/>
      <c r="X29" s="304">
        <v>1</v>
      </c>
      <c r="Y29" s="227">
        <v>1</v>
      </c>
      <c r="Z29" s="228"/>
      <c r="AA29" s="373"/>
      <c r="AB29" s="304"/>
      <c r="AC29" s="177"/>
      <c r="AD29" s="177">
        <v>1</v>
      </c>
      <c r="AE29" s="227">
        <v>1</v>
      </c>
      <c r="AF29" s="558">
        <f t="shared" si="1"/>
        <v>10</v>
      </c>
      <c r="AG29" s="571"/>
      <c r="AH29" s="100"/>
    </row>
    <row r="30" spans="1:101" ht="34.15" customHeight="1" thickBot="1">
      <c r="A30" s="173" t="s">
        <v>74</v>
      </c>
      <c r="B30" s="345"/>
      <c r="C30" s="220"/>
      <c r="D30" s="220" t="s">
        <v>18</v>
      </c>
      <c r="E30" s="220" t="s">
        <v>18</v>
      </c>
      <c r="F30" s="220"/>
      <c r="G30" s="220"/>
      <c r="H30" s="122"/>
      <c r="I30" s="122"/>
      <c r="J30" s="220" t="s">
        <v>18</v>
      </c>
      <c r="K30" s="220" t="s">
        <v>18</v>
      </c>
      <c r="L30" s="220"/>
      <c r="M30" s="445"/>
      <c r="N30" s="220"/>
      <c r="O30" s="122"/>
      <c r="P30" s="122" t="s">
        <v>18</v>
      </c>
      <c r="Q30" s="220" t="s">
        <v>18</v>
      </c>
      <c r="R30" s="220"/>
      <c r="S30" s="220"/>
      <c r="T30" s="220"/>
      <c r="U30" s="220"/>
      <c r="V30" s="122" t="s">
        <v>18</v>
      </c>
      <c r="W30" s="122" t="s">
        <v>18</v>
      </c>
      <c r="X30" s="220"/>
      <c r="Y30" s="220"/>
      <c r="Z30" s="220"/>
      <c r="AA30" s="445"/>
      <c r="AB30" s="220" t="s">
        <v>18</v>
      </c>
      <c r="AC30" s="122" t="s">
        <v>18</v>
      </c>
      <c r="AD30" s="122"/>
      <c r="AE30" s="293"/>
      <c r="AF30" s="556">
        <f t="shared" si="1"/>
        <v>0</v>
      </c>
      <c r="AG30" s="483"/>
    </row>
    <row r="31" spans="1:101" ht="28.9" thickBot="1">
      <c r="A31" s="146" t="s">
        <v>36</v>
      </c>
      <c r="B31" s="193"/>
      <c r="C31" s="224"/>
      <c r="D31" s="224">
        <v>15</v>
      </c>
      <c r="E31" s="224">
        <v>15</v>
      </c>
      <c r="F31" s="248">
        <v>0.5</v>
      </c>
      <c r="G31" s="224"/>
      <c r="H31" s="103"/>
      <c r="I31" s="103"/>
      <c r="J31" s="224">
        <v>15</v>
      </c>
      <c r="K31" s="224">
        <v>15</v>
      </c>
      <c r="L31" s="248">
        <v>0.5</v>
      </c>
      <c r="M31" s="372">
        <v>4</v>
      </c>
      <c r="N31" s="224"/>
      <c r="O31" s="103"/>
      <c r="P31" s="103">
        <v>15</v>
      </c>
      <c r="Q31" s="224">
        <v>15</v>
      </c>
      <c r="R31" s="248">
        <v>0.5</v>
      </c>
      <c r="S31" s="224"/>
      <c r="T31" s="224"/>
      <c r="U31" s="224"/>
      <c r="V31" s="103">
        <v>15</v>
      </c>
      <c r="W31" s="103">
        <v>15</v>
      </c>
      <c r="X31" s="248">
        <v>0.5</v>
      </c>
      <c r="Y31" s="224"/>
      <c r="Z31" s="224"/>
      <c r="AA31" s="372">
        <v>4</v>
      </c>
      <c r="AB31" s="224">
        <v>15</v>
      </c>
      <c r="AC31" s="103">
        <v>15</v>
      </c>
      <c r="AD31" s="107">
        <v>0.5</v>
      </c>
      <c r="AE31" s="225"/>
      <c r="AF31" s="557">
        <f t="shared" si="1"/>
        <v>160.5</v>
      </c>
      <c r="AG31" s="574">
        <f>SUM(AF31-AF67)</f>
        <v>0.5</v>
      </c>
    </row>
    <row r="32" spans="1:101" ht="30" customHeight="1" thickBot="1">
      <c r="A32" s="187" t="s">
        <v>34</v>
      </c>
      <c r="B32" s="196"/>
      <c r="C32" s="227"/>
      <c r="D32" s="227">
        <v>1</v>
      </c>
      <c r="E32" s="227">
        <v>1</v>
      </c>
      <c r="F32" s="227"/>
      <c r="G32" s="227"/>
      <c r="H32" s="133"/>
      <c r="I32" s="133"/>
      <c r="J32" s="227">
        <v>1</v>
      </c>
      <c r="K32" s="227">
        <v>1</v>
      </c>
      <c r="L32" s="227"/>
      <c r="M32" s="380"/>
      <c r="N32" s="227"/>
      <c r="O32" s="134"/>
      <c r="P32" s="133">
        <v>1</v>
      </c>
      <c r="Q32" s="227">
        <v>1</v>
      </c>
      <c r="R32" s="227"/>
      <c r="S32" s="227"/>
      <c r="T32" s="229"/>
      <c r="U32" s="227"/>
      <c r="V32" s="134">
        <v>1</v>
      </c>
      <c r="W32" s="133">
        <v>1</v>
      </c>
      <c r="X32" s="230"/>
      <c r="Y32" s="227"/>
      <c r="Z32" s="230"/>
      <c r="AA32" s="395"/>
      <c r="AB32" s="227">
        <v>1</v>
      </c>
      <c r="AC32" s="134">
        <v>1</v>
      </c>
      <c r="AD32" s="133"/>
      <c r="AE32" s="605"/>
      <c r="AF32" s="558">
        <f t="shared" si="1"/>
        <v>10</v>
      </c>
      <c r="AG32" s="481"/>
      <c r="AH32" s="2"/>
    </row>
    <row r="33" spans="1:59" ht="31.9" customHeight="1" thickBot="1">
      <c r="A33" s="173" t="s">
        <v>37</v>
      </c>
      <c r="B33" s="197"/>
      <c r="C33" s="246"/>
      <c r="D33" s="246"/>
      <c r="E33" s="246"/>
      <c r="F33" s="246"/>
      <c r="G33" s="246"/>
      <c r="H33" s="108"/>
      <c r="I33" s="108"/>
      <c r="J33" s="246"/>
      <c r="K33" s="246"/>
      <c r="L33" s="248"/>
      <c r="M33" s="247"/>
      <c r="N33" s="246"/>
      <c r="O33" s="108"/>
      <c r="P33" s="108"/>
      <c r="Q33" s="252"/>
      <c r="R33" s="246"/>
      <c r="S33" s="246"/>
      <c r="T33" s="252"/>
      <c r="U33" s="246"/>
      <c r="V33" s="109"/>
      <c r="W33" s="108"/>
      <c r="X33" s="252"/>
      <c r="Y33" s="246"/>
      <c r="Z33" s="246"/>
      <c r="AA33" s="252"/>
      <c r="AB33" s="246"/>
      <c r="AC33" s="113"/>
      <c r="AD33" s="108"/>
      <c r="AE33" s="252"/>
      <c r="AF33" s="556">
        <f t="shared" si="1"/>
        <v>0</v>
      </c>
      <c r="AG33" s="477"/>
      <c r="AH33" s="2"/>
    </row>
    <row r="34" spans="1:59" ht="34.15" customHeight="1" thickBot="1">
      <c r="A34" s="146" t="s">
        <v>38</v>
      </c>
      <c r="B34" s="197"/>
      <c r="C34" s="246"/>
      <c r="D34" s="246"/>
      <c r="E34" s="246"/>
      <c r="F34" s="246"/>
      <c r="G34" s="246"/>
      <c r="H34" s="108"/>
      <c r="I34" s="108"/>
      <c r="J34" s="246"/>
      <c r="K34" s="246"/>
      <c r="L34" s="248"/>
      <c r="M34" s="247"/>
      <c r="N34" s="246"/>
      <c r="O34" s="108"/>
      <c r="P34" s="108"/>
      <c r="Q34" s="252"/>
      <c r="R34" s="246"/>
      <c r="S34" s="246"/>
      <c r="T34" s="252"/>
      <c r="U34" s="246"/>
      <c r="V34" s="109"/>
      <c r="W34" s="108"/>
      <c r="X34" s="252"/>
      <c r="Y34" s="246"/>
      <c r="Z34" s="246"/>
      <c r="AA34" s="252"/>
      <c r="AB34" s="246"/>
      <c r="AC34" s="113"/>
      <c r="AD34" s="108"/>
      <c r="AE34" s="252"/>
      <c r="AF34" s="557">
        <f t="shared" si="1"/>
        <v>0</v>
      </c>
      <c r="AG34" s="484"/>
      <c r="AH34" s="2"/>
    </row>
    <row r="35" spans="1:59" ht="31.9" customHeight="1" thickBot="1">
      <c r="A35" s="187" t="s">
        <v>39</v>
      </c>
      <c r="B35" s="196"/>
      <c r="C35" s="227"/>
      <c r="D35" s="227"/>
      <c r="E35" s="227"/>
      <c r="F35" s="227"/>
      <c r="G35" s="227"/>
      <c r="H35" s="133"/>
      <c r="I35" s="133"/>
      <c r="J35" s="227"/>
      <c r="K35" s="227"/>
      <c r="L35" s="228"/>
      <c r="M35" s="230"/>
      <c r="N35" s="227"/>
      <c r="O35" s="133"/>
      <c r="P35" s="133"/>
      <c r="Q35" s="229"/>
      <c r="R35" s="227"/>
      <c r="S35" s="227"/>
      <c r="T35" s="229"/>
      <c r="U35" s="227"/>
      <c r="V35" s="136"/>
      <c r="W35" s="133"/>
      <c r="X35" s="229"/>
      <c r="Y35" s="227"/>
      <c r="Z35" s="227"/>
      <c r="AA35" s="229"/>
      <c r="AB35" s="227"/>
      <c r="AC35" s="134"/>
      <c r="AD35" s="133"/>
      <c r="AE35" s="229"/>
      <c r="AF35" s="558">
        <f t="shared" si="1"/>
        <v>0</v>
      </c>
      <c r="AG35" s="478"/>
      <c r="AH35" s="2"/>
    </row>
    <row r="36" spans="1:59" ht="28.9" thickBot="1">
      <c r="A36" s="465"/>
      <c r="B36" s="197"/>
      <c r="C36" s="246"/>
      <c r="D36" s="246"/>
      <c r="E36" s="246"/>
      <c r="F36" s="246"/>
      <c r="G36" s="246"/>
      <c r="H36" s="108"/>
      <c r="I36" s="108"/>
      <c r="J36" s="246"/>
      <c r="K36" s="246"/>
      <c r="L36" s="248"/>
      <c r="M36" s="247"/>
      <c r="N36" s="246"/>
      <c r="O36" s="108"/>
      <c r="P36" s="108"/>
      <c r="Q36" s="252"/>
      <c r="R36" s="246"/>
      <c r="S36" s="246"/>
      <c r="T36" s="252"/>
      <c r="U36" s="246"/>
      <c r="V36" s="109"/>
      <c r="W36" s="108"/>
      <c r="X36" s="252"/>
      <c r="Y36" s="246"/>
      <c r="Z36" s="246"/>
      <c r="AA36" s="252"/>
      <c r="AB36" s="246"/>
      <c r="AC36" s="113"/>
      <c r="AD36" s="108"/>
      <c r="AE36" s="252"/>
      <c r="AF36" s="556">
        <f>SUM(B36:AE36)</f>
        <v>0</v>
      </c>
      <c r="AG36" s="477"/>
    </row>
    <row r="37" spans="1:59" ht="39" thickBot="1">
      <c r="A37" s="146"/>
      <c r="B37" s="197"/>
      <c r="C37" s="246"/>
      <c r="D37" s="246"/>
      <c r="E37" s="246"/>
      <c r="F37" s="246"/>
      <c r="G37" s="246"/>
      <c r="H37" s="108"/>
      <c r="I37" s="108"/>
      <c r="J37" s="246"/>
      <c r="K37" s="246"/>
      <c r="L37" s="248"/>
      <c r="M37" s="247"/>
      <c r="N37" s="246"/>
      <c r="O37" s="108"/>
      <c r="P37" s="108"/>
      <c r="Q37" s="252"/>
      <c r="R37" s="246"/>
      <c r="S37" s="246"/>
      <c r="T37" s="252"/>
      <c r="U37" s="246"/>
      <c r="V37" s="109"/>
      <c r="W37" s="108"/>
      <c r="X37" s="252"/>
      <c r="Y37" s="246"/>
      <c r="Z37" s="246"/>
      <c r="AA37" s="252"/>
      <c r="AB37" s="246"/>
      <c r="AC37" s="113"/>
      <c r="AD37" s="108"/>
      <c r="AE37" s="252"/>
      <c r="AF37" s="557">
        <f t="shared" ref="AF37" si="2">SUM(B37:AE37)</f>
        <v>0</v>
      </c>
      <c r="AG37" s="484"/>
      <c r="AH37" s="2"/>
    </row>
    <row r="38" spans="1:59" ht="34.15" customHeight="1" thickBot="1">
      <c r="A38" s="188"/>
      <c r="B38" s="194"/>
      <c r="C38" s="232"/>
      <c r="D38" s="232"/>
      <c r="E38" s="232"/>
      <c r="F38" s="232"/>
      <c r="G38" s="232"/>
      <c r="H38" s="137"/>
      <c r="I38" s="137"/>
      <c r="J38" s="232"/>
      <c r="K38" s="232"/>
      <c r="L38" s="260"/>
      <c r="M38" s="231"/>
      <c r="N38" s="232"/>
      <c r="O38" s="137"/>
      <c r="P38" s="137"/>
      <c r="Q38" s="233"/>
      <c r="R38" s="232"/>
      <c r="S38" s="232"/>
      <c r="T38" s="233"/>
      <c r="U38" s="232"/>
      <c r="V38" s="138"/>
      <c r="W38" s="137"/>
      <c r="X38" s="233"/>
      <c r="Y38" s="232"/>
      <c r="Z38" s="232"/>
      <c r="AA38" s="233"/>
      <c r="AB38" s="232"/>
      <c r="AC38" s="139"/>
      <c r="AD38" s="137"/>
      <c r="AE38" s="233"/>
      <c r="AF38" s="558">
        <f>SUM(B38:AE38)</f>
        <v>0</v>
      </c>
      <c r="AG38" s="478"/>
    </row>
    <row r="39" spans="1:59" ht="29.45" thickBot="1">
      <c r="A39" s="173"/>
      <c r="B39" s="199"/>
      <c r="C39" s="222"/>
      <c r="D39" s="222"/>
      <c r="E39" s="222"/>
      <c r="F39" s="222"/>
      <c r="G39" s="222"/>
      <c r="H39" s="105"/>
      <c r="I39" s="105"/>
      <c r="J39" s="222"/>
      <c r="K39" s="222"/>
      <c r="L39" s="253"/>
      <c r="M39" s="256"/>
      <c r="N39" s="222"/>
      <c r="O39" s="105"/>
      <c r="P39" s="105"/>
      <c r="Q39" s="254"/>
      <c r="R39" s="222"/>
      <c r="S39" s="222"/>
      <c r="T39" s="254"/>
      <c r="U39" s="222"/>
      <c r="V39" s="106"/>
      <c r="W39" s="105"/>
      <c r="X39" s="254"/>
      <c r="Y39" s="222"/>
      <c r="Z39" s="222"/>
      <c r="AA39" s="254"/>
      <c r="AB39" s="222"/>
      <c r="AC39" s="112"/>
      <c r="AD39" s="105"/>
      <c r="AE39" s="254"/>
      <c r="AF39" s="556">
        <f>SUM(B39:AE39)</f>
        <v>0</v>
      </c>
      <c r="AG39" s="6"/>
    </row>
    <row r="40" spans="1:59" ht="28.9" thickBot="1">
      <c r="A40" s="146"/>
      <c r="B40" s="197"/>
      <c r="C40" s="246"/>
      <c r="D40" s="246"/>
      <c r="E40" s="246"/>
      <c r="F40" s="246"/>
      <c r="G40" s="246"/>
      <c r="H40" s="108"/>
      <c r="I40" s="108"/>
      <c r="J40" s="246"/>
      <c r="K40" s="246"/>
      <c r="L40" s="248"/>
      <c r="M40" s="247"/>
      <c r="N40" s="246"/>
      <c r="O40" s="108"/>
      <c r="P40" s="108"/>
      <c r="Q40" s="252"/>
      <c r="R40" s="246"/>
      <c r="S40" s="246"/>
      <c r="T40" s="252"/>
      <c r="U40" s="246"/>
      <c r="V40" s="108"/>
      <c r="W40" s="108"/>
      <c r="X40" s="252"/>
      <c r="Y40" s="246"/>
      <c r="Z40" s="246"/>
      <c r="AA40" s="246"/>
      <c r="AB40" s="246"/>
      <c r="AC40" s="113"/>
      <c r="AD40" s="108"/>
      <c r="AE40" s="252"/>
      <c r="AF40" s="557">
        <f t="shared" ref="AF40" si="3">SUM(B40:AE40)</f>
        <v>0</v>
      </c>
      <c r="AG40" s="101"/>
    </row>
    <row r="41" spans="1:59" ht="28.9" thickBot="1">
      <c r="A41" s="190"/>
      <c r="B41" s="196"/>
      <c r="C41" s="227"/>
      <c r="D41" s="227"/>
      <c r="E41" s="227"/>
      <c r="F41" s="227"/>
      <c r="G41" s="227"/>
      <c r="H41" s="133"/>
      <c r="I41" s="133"/>
      <c r="J41" s="227"/>
      <c r="K41" s="227"/>
      <c r="L41" s="228"/>
      <c r="M41" s="230"/>
      <c r="N41" s="227"/>
      <c r="O41" s="133"/>
      <c r="P41" s="133"/>
      <c r="Q41" s="229"/>
      <c r="R41" s="227"/>
      <c r="S41" s="227"/>
      <c r="T41" s="229"/>
      <c r="U41" s="227"/>
      <c r="V41" s="136"/>
      <c r="W41" s="133"/>
      <c r="X41" s="229"/>
      <c r="Y41" s="227"/>
      <c r="Z41" s="227"/>
      <c r="AA41" s="229"/>
      <c r="AB41" s="227"/>
      <c r="AC41" s="134"/>
      <c r="AD41" s="133"/>
      <c r="AE41" s="229"/>
      <c r="AF41" s="558">
        <f>SUM(B41:AE41)</f>
        <v>0</v>
      </c>
    </row>
    <row r="42" spans="1:59" ht="28.9" thickBot="1">
      <c r="A42" s="146"/>
      <c r="B42" s="197"/>
      <c r="C42" s="246"/>
      <c r="D42" s="246"/>
      <c r="E42" s="246"/>
      <c r="F42" s="246"/>
      <c r="G42" s="246"/>
      <c r="H42" s="108"/>
      <c r="I42" s="108"/>
      <c r="J42" s="246"/>
      <c r="K42" s="246"/>
      <c r="L42" s="248"/>
      <c r="M42" s="247"/>
      <c r="N42" s="246"/>
      <c r="O42" s="108"/>
      <c r="P42" s="108"/>
      <c r="Q42" s="252"/>
      <c r="R42" s="246"/>
      <c r="S42" s="246"/>
      <c r="T42" s="252"/>
      <c r="U42" s="246"/>
      <c r="V42" s="109"/>
      <c r="W42" s="108"/>
      <c r="X42" s="252"/>
      <c r="Y42" s="246"/>
      <c r="Z42" s="246"/>
      <c r="AA42" s="252"/>
      <c r="AB42" s="246"/>
      <c r="AC42" s="113"/>
      <c r="AD42" s="108"/>
      <c r="AE42" s="252"/>
      <c r="AF42" s="556">
        <f>SUM(B42:AE42)</f>
        <v>0</v>
      </c>
    </row>
    <row r="43" spans="1:59" ht="29.45" thickBot="1">
      <c r="A43" s="146"/>
      <c r="B43" s="197"/>
      <c r="C43" s="246"/>
      <c r="D43" s="246"/>
      <c r="E43" s="246"/>
      <c r="F43" s="246"/>
      <c r="G43" s="246"/>
      <c r="H43" s="108"/>
      <c r="I43" s="108"/>
      <c r="J43" s="246"/>
      <c r="K43" s="246"/>
      <c r="L43" s="248"/>
      <c r="M43" s="247"/>
      <c r="N43" s="246"/>
      <c r="O43" s="108"/>
      <c r="P43" s="108"/>
      <c r="Q43" s="252"/>
      <c r="R43" s="246"/>
      <c r="S43" s="246"/>
      <c r="T43" s="252"/>
      <c r="U43" s="246"/>
      <c r="V43" s="109"/>
      <c r="W43" s="108"/>
      <c r="X43" s="252"/>
      <c r="Y43" s="246"/>
      <c r="Z43" s="246"/>
      <c r="AA43" s="252"/>
      <c r="AB43" s="246"/>
      <c r="AC43" s="113"/>
      <c r="AD43" s="108"/>
      <c r="AE43" s="252"/>
      <c r="AF43" s="557">
        <f t="shared" ref="AF43" si="4">SUM(B43:AE43)</f>
        <v>0</v>
      </c>
      <c r="AX43" s="7"/>
      <c r="AY43" s="7"/>
      <c r="AZ43" s="7"/>
      <c r="BA43" s="7"/>
      <c r="BB43" s="151"/>
      <c r="BC43" s="7"/>
      <c r="BD43" s="7"/>
      <c r="BE43" s="7"/>
      <c r="BF43" s="36"/>
      <c r="BG43" s="6"/>
    </row>
    <row r="44" spans="1:59" ht="28.9" customHeight="1" thickBot="1">
      <c r="A44" s="189"/>
      <c r="B44" s="194"/>
      <c r="C44" s="232"/>
      <c r="D44" s="232"/>
      <c r="E44" s="232"/>
      <c r="F44" s="232"/>
      <c r="G44" s="232"/>
      <c r="H44" s="137"/>
      <c r="I44" s="137"/>
      <c r="J44" s="232"/>
      <c r="K44" s="232"/>
      <c r="L44" s="260"/>
      <c r="M44" s="231"/>
      <c r="N44" s="232"/>
      <c r="O44" s="137"/>
      <c r="P44" s="137"/>
      <c r="Q44" s="233"/>
      <c r="R44" s="232"/>
      <c r="S44" s="232"/>
      <c r="T44" s="233"/>
      <c r="U44" s="232"/>
      <c r="V44" s="138"/>
      <c r="W44" s="137"/>
      <c r="X44" s="233"/>
      <c r="Y44" s="232"/>
      <c r="Z44" s="232"/>
      <c r="AA44" s="233"/>
      <c r="AB44" s="232"/>
      <c r="AC44" s="139"/>
      <c r="AD44" s="137"/>
      <c r="AE44" s="233"/>
      <c r="AF44" s="558">
        <f>SUM(B44:AE44)</f>
        <v>0</v>
      </c>
      <c r="AX44" s="151"/>
      <c r="AY44" s="151"/>
      <c r="AZ44" s="151"/>
      <c r="BA44" s="151"/>
      <c r="BB44" s="151"/>
      <c r="BC44" s="151"/>
      <c r="BD44" s="151"/>
      <c r="BE44" s="151"/>
      <c r="BF44" s="153"/>
      <c r="BG44" s="131"/>
    </row>
    <row r="45" spans="1:59" ht="29.45" thickBot="1">
      <c r="A45" s="173"/>
      <c r="B45" s="199"/>
      <c r="C45" s="222"/>
      <c r="D45" s="222"/>
      <c r="E45" s="222"/>
      <c r="F45" s="222"/>
      <c r="G45" s="222"/>
      <c r="H45" s="105"/>
      <c r="I45" s="105"/>
      <c r="J45" s="222"/>
      <c r="K45" s="222"/>
      <c r="L45" s="253"/>
      <c r="M45" s="256"/>
      <c r="N45" s="222"/>
      <c r="O45" s="105"/>
      <c r="P45" s="105"/>
      <c r="Q45" s="254"/>
      <c r="R45" s="222"/>
      <c r="S45" s="222"/>
      <c r="T45" s="254"/>
      <c r="U45" s="222"/>
      <c r="V45" s="106"/>
      <c r="W45" s="105"/>
      <c r="X45" s="254"/>
      <c r="Y45" s="222"/>
      <c r="Z45" s="222"/>
      <c r="AA45" s="254"/>
      <c r="AB45" s="222"/>
      <c r="AC45" s="112"/>
      <c r="AD45" s="105"/>
      <c r="AE45" s="254"/>
      <c r="AF45" s="556">
        <f>SUM(B45:AE45)</f>
        <v>0</v>
      </c>
      <c r="AX45" s="154"/>
      <c r="AY45" s="151"/>
      <c r="AZ45" s="151"/>
      <c r="BA45" s="151"/>
      <c r="BB45" s="151"/>
      <c r="BC45" s="151"/>
      <c r="BD45" s="151"/>
      <c r="BE45" s="151"/>
      <c r="BF45" s="153"/>
      <c r="BG45" s="131"/>
    </row>
    <row r="46" spans="1:59" ht="29.45" thickBot="1">
      <c r="A46" s="146"/>
      <c r="B46" s="197"/>
      <c r="C46" s="246"/>
      <c r="D46" s="246"/>
      <c r="E46" s="246"/>
      <c r="F46" s="246"/>
      <c r="G46" s="246"/>
      <c r="H46" s="108"/>
      <c r="I46" s="108"/>
      <c r="J46" s="246"/>
      <c r="K46" s="246"/>
      <c r="L46" s="248"/>
      <c r="M46" s="247"/>
      <c r="N46" s="246"/>
      <c r="O46" s="108"/>
      <c r="P46" s="108"/>
      <c r="Q46" s="252"/>
      <c r="R46" s="246"/>
      <c r="S46" s="246"/>
      <c r="T46" s="252"/>
      <c r="U46" s="246"/>
      <c r="V46" s="108"/>
      <c r="W46" s="108"/>
      <c r="X46" s="252"/>
      <c r="Y46" s="246"/>
      <c r="Z46" s="246"/>
      <c r="AA46" s="246"/>
      <c r="AB46" s="246"/>
      <c r="AC46" s="113"/>
      <c r="AD46" s="108"/>
      <c r="AE46" s="252"/>
      <c r="AF46" s="557">
        <f t="shared" ref="AF46" si="5">SUM(B46:AE46)</f>
        <v>0</v>
      </c>
      <c r="AX46" s="153"/>
      <c r="AY46" s="131"/>
      <c r="AZ46" s="153"/>
      <c r="BA46" s="131"/>
      <c r="BB46" s="131"/>
      <c r="BC46" s="131"/>
      <c r="BD46" s="131"/>
      <c r="BE46" s="131"/>
      <c r="BF46" s="131"/>
      <c r="BG46" s="153"/>
    </row>
    <row r="47" spans="1:59" ht="29.45" thickBot="1">
      <c r="A47" s="190"/>
      <c r="B47" s="196"/>
      <c r="C47" s="227"/>
      <c r="D47" s="227"/>
      <c r="E47" s="227"/>
      <c r="F47" s="227"/>
      <c r="G47" s="227"/>
      <c r="H47" s="133"/>
      <c r="I47" s="133"/>
      <c r="J47" s="227"/>
      <c r="K47" s="227"/>
      <c r="L47" s="228"/>
      <c r="M47" s="230"/>
      <c r="N47" s="227"/>
      <c r="O47" s="133"/>
      <c r="P47" s="133"/>
      <c r="Q47" s="229"/>
      <c r="R47" s="227"/>
      <c r="S47" s="227"/>
      <c r="T47" s="229"/>
      <c r="U47" s="227"/>
      <c r="V47" s="136"/>
      <c r="W47" s="133"/>
      <c r="X47" s="229"/>
      <c r="Y47" s="227"/>
      <c r="Z47" s="227"/>
      <c r="AA47" s="229"/>
      <c r="AB47" s="227"/>
      <c r="AC47" s="134"/>
      <c r="AD47" s="133"/>
      <c r="AE47" s="229"/>
      <c r="AF47" s="558">
        <f>SUM(B47:AE47)</f>
        <v>0</v>
      </c>
      <c r="AX47" s="153"/>
      <c r="AY47" s="131"/>
      <c r="AZ47" s="153"/>
      <c r="BA47" s="131"/>
      <c r="BB47" s="131"/>
      <c r="BC47" s="131"/>
      <c r="BD47" s="131"/>
      <c r="BE47" s="131"/>
      <c r="BF47" s="131"/>
      <c r="BG47" s="153"/>
    </row>
    <row r="48" spans="1:59" ht="29.45" hidden="1" thickBot="1">
      <c r="A48" s="146"/>
      <c r="B48" s="197"/>
      <c r="C48" s="246"/>
      <c r="D48" s="246"/>
      <c r="E48" s="246"/>
      <c r="F48" s="246"/>
      <c r="G48" s="246"/>
      <c r="H48" s="108"/>
      <c r="I48" s="108"/>
      <c r="J48" s="246"/>
      <c r="K48" s="246"/>
      <c r="L48" s="248"/>
      <c r="M48" s="247"/>
      <c r="N48" s="246"/>
      <c r="O48" s="108"/>
      <c r="P48" s="108"/>
      <c r="Q48" s="252"/>
      <c r="R48" s="246"/>
      <c r="S48" s="246"/>
      <c r="T48" s="252"/>
      <c r="U48" s="246"/>
      <c r="V48" s="109"/>
      <c r="W48" s="108"/>
      <c r="X48" s="252"/>
      <c r="Y48" s="246"/>
      <c r="Z48" s="246"/>
      <c r="AA48" s="252"/>
      <c r="AB48" s="246"/>
      <c r="AC48" s="113"/>
      <c r="AD48" s="108"/>
      <c r="AE48" s="252"/>
      <c r="AF48" s="556">
        <f>SUM(B48:AE48)</f>
        <v>0</v>
      </c>
      <c r="AX48" s="153"/>
      <c r="AY48" s="131"/>
      <c r="AZ48" s="153"/>
      <c r="BA48" s="131"/>
      <c r="BB48" s="131"/>
      <c r="BC48" s="131"/>
      <c r="BD48" s="131"/>
      <c r="BE48" s="131"/>
      <c r="BF48" s="153"/>
      <c r="BG48" s="131"/>
    </row>
    <row r="49" spans="1:59" ht="29.45" hidden="1" thickBot="1">
      <c r="A49" s="146"/>
      <c r="B49" s="197"/>
      <c r="C49" s="246"/>
      <c r="D49" s="246"/>
      <c r="E49" s="246"/>
      <c r="F49" s="246"/>
      <c r="G49" s="246"/>
      <c r="H49" s="108"/>
      <c r="I49" s="108"/>
      <c r="J49" s="246"/>
      <c r="K49" s="246"/>
      <c r="L49" s="248"/>
      <c r="M49" s="247"/>
      <c r="N49" s="246"/>
      <c r="O49" s="108"/>
      <c r="P49" s="108"/>
      <c r="Q49" s="252"/>
      <c r="R49" s="246"/>
      <c r="S49" s="246"/>
      <c r="T49" s="252"/>
      <c r="U49" s="246"/>
      <c r="V49" s="109"/>
      <c r="W49" s="108"/>
      <c r="X49" s="252"/>
      <c r="Y49" s="246"/>
      <c r="Z49" s="246"/>
      <c r="AA49" s="252"/>
      <c r="AB49" s="246"/>
      <c r="AC49" s="113"/>
      <c r="AD49" s="108"/>
      <c r="AE49" s="252"/>
      <c r="AF49" s="557">
        <f t="shared" ref="AF49" si="6">SUM(B49:AE49)</f>
        <v>0</v>
      </c>
      <c r="AX49" s="153"/>
      <c r="AY49" s="131"/>
      <c r="AZ49" s="153"/>
      <c r="BA49" s="131"/>
      <c r="BB49" s="131"/>
      <c r="BC49" s="131"/>
      <c r="BD49" s="131"/>
      <c r="BE49" s="131"/>
      <c r="BF49" s="131"/>
      <c r="BG49" s="131"/>
    </row>
    <row r="50" spans="1:59" ht="29.45" hidden="1" thickBot="1">
      <c r="A50" s="189"/>
      <c r="B50" s="194"/>
      <c r="C50" s="232"/>
      <c r="D50" s="232"/>
      <c r="E50" s="232"/>
      <c r="F50" s="232"/>
      <c r="G50" s="232"/>
      <c r="H50" s="137"/>
      <c r="I50" s="137"/>
      <c r="J50" s="232"/>
      <c r="K50" s="232"/>
      <c r="L50" s="260"/>
      <c r="M50" s="231"/>
      <c r="N50" s="232"/>
      <c r="O50" s="137"/>
      <c r="P50" s="137"/>
      <c r="Q50" s="233"/>
      <c r="R50" s="232"/>
      <c r="S50" s="232"/>
      <c r="T50" s="233"/>
      <c r="U50" s="232"/>
      <c r="V50" s="138"/>
      <c r="W50" s="137"/>
      <c r="X50" s="233"/>
      <c r="Y50" s="232"/>
      <c r="Z50" s="232"/>
      <c r="AA50" s="233"/>
      <c r="AB50" s="232"/>
      <c r="AC50" s="139"/>
      <c r="AD50" s="137"/>
      <c r="AE50" s="233"/>
      <c r="AF50" s="558">
        <f>SUM(B50:AE50)</f>
        <v>0</v>
      </c>
      <c r="AX50" s="153"/>
      <c r="AY50" s="131"/>
      <c r="AZ50" s="153"/>
      <c r="BA50" s="131"/>
      <c r="BB50" s="131"/>
      <c r="BC50" s="131"/>
      <c r="BD50" s="131"/>
      <c r="BE50" s="131"/>
      <c r="BF50" s="131"/>
      <c r="BG50" s="131"/>
    </row>
    <row r="51" spans="1:59" ht="29.45" hidden="1" thickBot="1">
      <c r="A51" s="173"/>
      <c r="B51" s="199"/>
      <c r="C51" s="222"/>
      <c r="D51" s="222"/>
      <c r="E51" s="222"/>
      <c r="F51" s="222"/>
      <c r="G51" s="222"/>
      <c r="H51" s="105"/>
      <c r="I51" s="105"/>
      <c r="J51" s="222"/>
      <c r="K51" s="222"/>
      <c r="L51" s="253"/>
      <c r="M51" s="256"/>
      <c r="N51" s="222"/>
      <c r="O51" s="105"/>
      <c r="P51" s="105"/>
      <c r="Q51" s="254"/>
      <c r="R51" s="222"/>
      <c r="S51" s="222"/>
      <c r="T51" s="254"/>
      <c r="U51" s="222"/>
      <c r="V51" s="106"/>
      <c r="W51" s="105"/>
      <c r="X51" s="254"/>
      <c r="Y51" s="222"/>
      <c r="Z51" s="222"/>
      <c r="AA51" s="254"/>
      <c r="AB51" s="222"/>
      <c r="AC51" s="112"/>
      <c r="AD51" s="105"/>
      <c r="AE51" s="254"/>
      <c r="AF51" s="556">
        <f>SUM(B51:AE51)</f>
        <v>0</v>
      </c>
      <c r="AX51" s="153"/>
      <c r="AY51" s="131"/>
      <c r="AZ51" s="153"/>
      <c r="BA51" s="131"/>
      <c r="BB51" s="131"/>
      <c r="BC51" s="131"/>
      <c r="BD51" s="131"/>
      <c r="BE51" s="131"/>
      <c r="BF51" s="131"/>
      <c r="BG51" s="131"/>
    </row>
    <row r="52" spans="1:59" ht="29.45" hidden="1" thickBot="1">
      <c r="A52" s="146"/>
      <c r="B52" s="197"/>
      <c r="C52" s="246"/>
      <c r="D52" s="246"/>
      <c r="E52" s="246"/>
      <c r="F52" s="246"/>
      <c r="G52" s="246"/>
      <c r="H52" s="108"/>
      <c r="I52" s="108"/>
      <c r="J52" s="246"/>
      <c r="K52" s="246"/>
      <c r="L52" s="248"/>
      <c r="M52" s="247"/>
      <c r="N52" s="246"/>
      <c r="O52" s="108"/>
      <c r="P52" s="108"/>
      <c r="Q52" s="252"/>
      <c r="R52" s="246"/>
      <c r="S52" s="246"/>
      <c r="T52" s="252"/>
      <c r="U52" s="246"/>
      <c r="V52" s="108"/>
      <c r="W52" s="108"/>
      <c r="X52" s="252"/>
      <c r="Y52" s="246"/>
      <c r="Z52" s="246"/>
      <c r="AA52" s="246"/>
      <c r="AB52" s="246"/>
      <c r="AC52" s="113"/>
      <c r="AD52" s="108"/>
      <c r="AE52" s="252"/>
      <c r="AF52" s="557">
        <f t="shared" ref="AF52" si="7">SUM(B52:AE52)</f>
        <v>0</v>
      </c>
      <c r="AX52" s="101"/>
      <c r="AY52" s="101"/>
      <c r="AZ52" s="6"/>
      <c r="BA52" s="6"/>
      <c r="BB52" s="6"/>
      <c r="BC52" s="6"/>
      <c r="BD52" s="6"/>
      <c r="BE52" s="6"/>
      <c r="BF52" s="6"/>
    </row>
    <row r="53" spans="1:59" ht="29.45" hidden="1" thickBot="1">
      <c r="A53" s="190"/>
      <c r="B53" s="196"/>
      <c r="C53" s="227"/>
      <c r="D53" s="227"/>
      <c r="E53" s="227"/>
      <c r="F53" s="227"/>
      <c r="G53" s="227"/>
      <c r="H53" s="133"/>
      <c r="I53" s="133"/>
      <c r="J53" s="227"/>
      <c r="K53" s="227"/>
      <c r="L53" s="228"/>
      <c r="M53" s="230"/>
      <c r="N53" s="227"/>
      <c r="O53" s="133"/>
      <c r="P53" s="133"/>
      <c r="Q53" s="229"/>
      <c r="R53" s="227"/>
      <c r="S53" s="227"/>
      <c r="T53" s="229"/>
      <c r="U53" s="227"/>
      <c r="V53" s="136"/>
      <c r="W53" s="133"/>
      <c r="X53" s="229"/>
      <c r="Y53" s="227"/>
      <c r="Z53" s="227"/>
      <c r="AA53" s="229"/>
      <c r="AB53" s="227"/>
      <c r="AC53" s="134"/>
      <c r="AD53" s="133"/>
      <c r="AE53" s="229"/>
      <c r="AF53" s="558">
        <f>SUM(B53:AE53)</f>
        <v>0</v>
      </c>
      <c r="AX53" s="101"/>
      <c r="AY53" s="101"/>
      <c r="AZ53" s="6"/>
      <c r="BA53" s="6"/>
      <c r="BB53" s="6"/>
      <c r="BC53" s="6"/>
      <c r="BD53" s="6"/>
      <c r="BE53" s="6"/>
      <c r="BF53" s="6"/>
      <c r="BG53" s="6"/>
    </row>
    <row r="54" spans="1:59" ht="28.9" hidden="1" thickBot="1">
      <c r="A54" s="146"/>
      <c r="B54" s="197"/>
      <c r="C54" s="246"/>
      <c r="D54" s="246"/>
      <c r="E54" s="246"/>
      <c r="F54" s="246"/>
      <c r="G54" s="246"/>
      <c r="H54" s="108"/>
      <c r="I54" s="108"/>
      <c r="J54" s="246"/>
      <c r="K54" s="246"/>
      <c r="L54" s="248"/>
      <c r="M54" s="247"/>
      <c r="N54" s="246"/>
      <c r="O54" s="108"/>
      <c r="P54" s="108"/>
      <c r="Q54" s="252"/>
      <c r="R54" s="246"/>
      <c r="S54" s="246"/>
      <c r="T54" s="252"/>
      <c r="U54" s="246"/>
      <c r="V54" s="109"/>
      <c r="W54" s="108"/>
      <c r="X54" s="252"/>
      <c r="Y54" s="246"/>
      <c r="Z54" s="246"/>
      <c r="AA54" s="252"/>
      <c r="AB54" s="246"/>
      <c r="AC54" s="113"/>
      <c r="AD54" s="108"/>
      <c r="AE54" s="252"/>
      <c r="AF54" s="556">
        <f>SUM(B54:AE54)</f>
        <v>0</v>
      </c>
    </row>
    <row r="55" spans="1:59" ht="28.9" hidden="1" thickBot="1">
      <c r="A55" s="146"/>
      <c r="B55" s="197"/>
      <c r="C55" s="246"/>
      <c r="D55" s="246"/>
      <c r="E55" s="246"/>
      <c r="F55" s="246"/>
      <c r="G55" s="246"/>
      <c r="H55" s="108"/>
      <c r="I55" s="108"/>
      <c r="J55" s="246"/>
      <c r="K55" s="246"/>
      <c r="L55" s="248"/>
      <c r="M55" s="247"/>
      <c r="N55" s="246"/>
      <c r="O55" s="108"/>
      <c r="P55" s="108"/>
      <c r="Q55" s="252"/>
      <c r="R55" s="246"/>
      <c r="S55" s="246"/>
      <c r="T55" s="252"/>
      <c r="U55" s="246"/>
      <c r="V55" s="109"/>
      <c r="W55" s="108"/>
      <c r="X55" s="252"/>
      <c r="Y55" s="246"/>
      <c r="Z55" s="246"/>
      <c r="AA55" s="252"/>
      <c r="AB55" s="246"/>
      <c r="AC55" s="113"/>
      <c r="AD55" s="108"/>
      <c r="AE55" s="252"/>
      <c r="AF55" s="557">
        <f t="shared" ref="AF55" si="8">SUM(B55:AE55)</f>
        <v>0</v>
      </c>
    </row>
    <row r="56" spans="1:59" ht="28.9" hidden="1" thickBot="1">
      <c r="A56" s="189"/>
      <c r="B56" s="194"/>
      <c r="C56" s="232"/>
      <c r="D56" s="232"/>
      <c r="E56" s="232"/>
      <c r="F56" s="232"/>
      <c r="G56" s="232"/>
      <c r="H56" s="137"/>
      <c r="I56" s="137"/>
      <c r="J56" s="232"/>
      <c r="K56" s="232"/>
      <c r="L56" s="260"/>
      <c r="M56" s="231"/>
      <c r="N56" s="232"/>
      <c r="O56" s="137"/>
      <c r="P56" s="137"/>
      <c r="Q56" s="233"/>
      <c r="R56" s="232"/>
      <c r="S56" s="232"/>
      <c r="T56" s="233"/>
      <c r="U56" s="232"/>
      <c r="V56" s="138"/>
      <c r="W56" s="137"/>
      <c r="X56" s="233"/>
      <c r="Y56" s="232"/>
      <c r="Z56" s="232"/>
      <c r="AA56" s="233"/>
      <c r="AB56" s="232"/>
      <c r="AC56" s="139"/>
      <c r="AD56" s="137"/>
      <c r="AE56" s="233"/>
      <c r="AF56" s="558">
        <f>SUM(B56:AE56)</f>
        <v>0</v>
      </c>
    </row>
    <row r="57" spans="1:59" ht="28.9" hidden="1" thickBot="1">
      <c r="A57" s="173"/>
      <c r="B57" s="199"/>
      <c r="C57" s="222"/>
      <c r="D57" s="222"/>
      <c r="E57" s="222"/>
      <c r="F57" s="222"/>
      <c r="G57" s="222"/>
      <c r="H57" s="105"/>
      <c r="I57" s="105"/>
      <c r="J57" s="222"/>
      <c r="K57" s="222"/>
      <c r="L57" s="253"/>
      <c r="M57" s="256"/>
      <c r="N57" s="222"/>
      <c r="O57" s="105"/>
      <c r="P57" s="105"/>
      <c r="Q57" s="254"/>
      <c r="R57" s="222"/>
      <c r="S57" s="222"/>
      <c r="T57" s="254"/>
      <c r="U57" s="222"/>
      <c r="V57" s="106"/>
      <c r="W57" s="105"/>
      <c r="X57" s="254"/>
      <c r="Y57" s="222"/>
      <c r="Z57" s="222"/>
      <c r="AA57" s="254"/>
      <c r="AB57" s="222"/>
      <c r="AC57" s="112"/>
      <c r="AD57" s="105"/>
      <c r="AE57" s="254"/>
      <c r="AF57" s="556">
        <f>SUM(B57:AE57)</f>
        <v>0</v>
      </c>
    </row>
    <row r="58" spans="1:59" ht="28.9" hidden="1" thickBot="1">
      <c r="A58" s="146"/>
      <c r="B58" s="197"/>
      <c r="C58" s="246"/>
      <c r="D58" s="246"/>
      <c r="E58" s="246"/>
      <c r="F58" s="246"/>
      <c r="G58" s="246"/>
      <c r="H58" s="108"/>
      <c r="I58" s="108"/>
      <c r="J58" s="246"/>
      <c r="K58" s="246"/>
      <c r="L58" s="248"/>
      <c r="M58" s="247"/>
      <c r="N58" s="246"/>
      <c r="O58" s="108"/>
      <c r="P58" s="108"/>
      <c r="Q58" s="252"/>
      <c r="R58" s="246"/>
      <c r="S58" s="246"/>
      <c r="T58" s="252"/>
      <c r="U58" s="246"/>
      <c r="V58" s="108"/>
      <c r="W58" s="108"/>
      <c r="X58" s="252"/>
      <c r="Y58" s="246"/>
      <c r="Z58" s="246"/>
      <c r="AA58" s="246"/>
      <c r="AB58" s="246"/>
      <c r="AC58" s="113"/>
      <c r="AD58" s="108"/>
      <c r="AE58" s="252"/>
      <c r="AF58" s="557">
        <f t="shared" ref="AF58" si="9">SUM(B58:AE58)</f>
        <v>0</v>
      </c>
    </row>
    <row r="59" spans="1:59" ht="28.9" hidden="1" thickBot="1">
      <c r="A59" s="190"/>
      <c r="B59" s="196"/>
      <c r="C59" s="227"/>
      <c r="D59" s="227"/>
      <c r="E59" s="227"/>
      <c r="F59" s="227"/>
      <c r="G59" s="227"/>
      <c r="H59" s="133"/>
      <c r="I59" s="133"/>
      <c r="J59" s="227"/>
      <c r="K59" s="227"/>
      <c r="L59" s="228"/>
      <c r="M59" s="230"/>
      <c r="N59" s="227"/>
      <c r="O59" s="133"/>
      <c r="P59" s="133"/>
      <c r="Q59" s="229"/>
      <c r="R59" s="227"/>
      <c r="S59" s="227"/>
      <c r="T59" s="229"/>
      <c r="U59" s="227"/>
      <c r="V59" s="136"/>
      <c r="W59" s="133"/>
      <c r="X59" s="229"/>
      <c r="Y59" s="227"/>
      <c r="Z59" s="227"/>
      <c r="AA59" s="229"/>
      <c r="AB59" s="227"/>
      <c r="AC59" s="134"/>
      <c r="AD59" s="133"/>
      <c r="AE59" s="229"/>
      <c r="AF59" s="558">
        <f>SUM(B59:AE59)</f>
        <v>0</v>
      </c>
    </row>
    <row r="60" spans="1:59" ht="28.9" hidden="1" thickBot="1">
      <c r="A60" s="146"/>
      <c r="B60" s="197"/>
      <c r="C60" s="246"/>
      <c r="D60" s="246"/>
      <c r="E60" s="246"/>
      <c r="F60" s="246"/>
      <c r="G60" s="246"/>
      <c r="H60" s="108"/>
      <c r="I60" s="108"/>
      <c r="J60" s="246"/>
      <c r="K60" s="246"/>
      <c r="L60" s="248"/>
      <c r="M60" s="247"/>
      <c r="N60" s="246"/>
      <c r="O60" s="108"/>
      <c r="P60" s="108"/>
      <c r="Q60" s="252"/>
      <c r="R60" s="246"/>
      <c r="S60" s="246"/>
      <c r="T60" s="252"/>
      <c r="U60" s="246"/>
      <c r="V60" s="109"/>
      <c r="W60" s="108"/>
      <c r="X60" s="252"/>
      <c r="Y60" s="246"/>
      <c r="Z60" s="246"/>
      <c r="AA60" s="252"/>
      <c r="AB60" s="246"/>
      <c r="AC60" s="113"/>
      <c r="AD60" s="108"/>
      <c r="AE60" s="252"/>
      <c r="AF60" s="556">
        <f>SUM(B60:AE60)</f>
        <v>0</v>
      </c>
    </row>
    <row r="61" spans="1:59" ht="28.9" hidden="1" thickBot="1">
      <c r="A61" s="146"/>
      <c r="B61" s="197"/>
      <c r="C61" s="246"/>
      <c r="D61" s="246"/>
      <c r="E61" s="246"/>
      <c r="F61" s="246"/>
      <c r="G61" s="246"/>
      <c r="H61" s="108"/>
      <c r="I61" s="108"/>
      <c r="J61" s="246"/>
      <c r="K61" s="246"/>
      <c r="L61" s="248"/>
      <c r="M61" s="247"/>
      <c r="N61" s="246"/>
      <c r="O61" s="108"/>
      <c r="P61" s="108"/>
      <c r="Q61" s="252"/>
      <c r="R61" s="246"/>
      <c r="S61" s="246"/>
      <c r="T61" s="252"/>
      <c r="U61" s="246"/>
      <c r="V61" s="109"/>
      <c r="W61" s="108"/>
      <c r="X61" s="252"/>
      <c r="Y61" s="246"/>
      <c r="Z61" s="246"/>
      <c r="AA61" s="252"/>
      <c r="AB61" s="246"/>
      <c r="AC61" s="113"/>
      <c r="AD61" s="108"/>
      <c r="AE61" s="252"/>
      <c r="AF61" s="557">
        <f t="shared" ref="AF61:AF64" si="10">SUM(B61:AE61)</f>
        <v>0</v>
      </c>
    </row>
    <row r="62" spans="1:59" ht="28.9" hidden="1" thickBot="1">
      <c r="A62" s="189"/>
      <c r="B62" s="194"/>
      <c r="C62" s="232"/>
      <c r="D62" s="232"/>
      <c r="E62" s="232"/>
      <c r="F62" s="232"/>
      <c r="G62" s="232"/>
      <c r="H62" s="137"/>
      <c r="I62" s="137"/>
      <c r="J62" s="232"/>
      <c r="K62" s="232"/>
      <c r="L62" s="260"/>
      <c r="M62" s="231"/>
      <c r="N62" s="232"/>
      <c r="O62" s="137"/>
      <c r="P62" s="137"/>
      <c r="Q62" s="233"/>
      <c r="R62" s="232"/>
      <c r="S62" s="232"/>
      <c r="T62" s="233"/>
      <c r="U62" s="232"/>
      <c r="V62" s="138"/>
      <c r="W62" s="137"/>
      <c r="X62" s="233"/>
      <c r="Y62" s="232"/>
      <c r="Z62" s="232"/>
      <c r="AA62" s="233"/>
      <c r="AB62" s="232"/>
      <c r="AC62" s="139"/>
      <c r="AD62" s="137"/>
      <c r="AE62" s="233"/>
      <c r="AF62" s="558">
        <f>SUM(B62:AE62)</f>
        <v>0</v>
      </c>
    </row>
    <row r="63" spans="1:59" ht="28.9" hidden="1" thickBot="1">
      <c r="A63" s="173"/>
      <c r="B63" s="199"/>
      <c r="C63" s="222"/>
      <c r="D63" s="222"/>
      <c r="E63" s="222"/>
      <c r="F63" s="222"/>
      <c r="G63" s="222"/>
      <c r="H63" s="105"/>
      <c r="I63" s="105"/>
      <c r="J63" s="222"/>
      <c r="K63" s="222"/>
      <c r="L63" s="253"/>
      <c r="M63" s="256"/>
      <c r="N63" s="222"/>
      <c r="O63" s="105"/>
      <c r="P63" s="105"/>
      <c r="Q63" s="254"/>
      <c r="R63" s="222"/>
      <c r="S63" s="222"/>
      <c r="T63" s="254"/>
      <c r="U63" s="222"/>
      <c r="V63" s="106"/>
      <c r="W63" s="105"/>
      <c r="X63" s="254"/>
      <c r="Y63" s="222"/>
      <c r="Z63" s="222"/>
      <c r="AA63" s="254"/>
      <c r="AB63" s="222"/>
      <c r="AC63" s="112"/>
      <c r="AD63" s="105"/>
      <c r="AE63" s="254"/>
      <c r="AF63" s="556">
        <f>SUM(B63:AE63)</f>
        <v>0</v>
      </c>
    </row>
    <row r="64" spans="1:59" ht="28.9" hidden="1" thickBot="1">
      <c r="A64" s="146"/>
      <c r="B64" s="197"/>
      <c r="C64" s="246"/>
      <c r="D64" s="246"/>
      <c r="E64" s="246"/>
      <c r="F64" s="246"/>
      <c r="G64" s="246"/>
      <c r="H64" s="108"/>
      <c r="I64" s="108"/>
      <c r="J64" s="246"/>
      <c r="K64" s="246"/>
      <c r="L64" s="248"/>
      <c r="M64" s="247"/>
      <c r="N64" s="246"/>
      <c r="O64" s="108"/>
      <c r="P64" s="108"/>
      <c r="Q64" s="252"/>
      <c r="R64" s="246"/>
      <c r="S64" s="246"/>
      <c r="T64" s="252"/>
      <c r="U64" s="246"/>
      <c r="V64" s="108"/>
      <c r="W64" s="108"/>
      <c r="X64" s="252"/>
      <c r="Y64" s="246"/>
      <c r="Z64" s="246"/>
      <c r="AA64" s="246"/>
      <c r="AB64" s="246"/>
      <c r="AC64" s="113"/>
      <c r="AD64" s="108"/>
      <c r="AE64" s="252"/>
      <c r="AF64" s="557">
        <f t="shared" si="10"/>
        <v>0</v>
      </c>
    </row>
    <row r="65" spans="1:32" ht="28.9" hidden="1" thickBot="1">
      <c r="A65" s="190"/>
      <c r="B65" s="196"/>
      <c r="C65" s="227"/>
      <c r="D65" s="227"/>
      <c r="E65" s="227"/>
      <c r="F65" s="227"/>
      <c r="G65" s="227"/>
      <c r="H65" s="133"/>
      <c r="I65" s="133"/>
      <c r="J65" s="227"/>
      <c r="K65" s="227"/>
      <c r="L65" s="228"/>
      <c r="M65" s="230"/>
      <c r="N65" s="227"/>
      <c r="O65" s="133"/>
      <c r="P65" s="133"/>
      <c r="Q65" s="229"/>
      <c r="R65" s="227"/>
      <c r="S65" s="227"/>
      <c r="T65" s="229"/>
      <c r="U65" s="227"/>
      <c r="V65" s="136"/>
      <c r="W65" s="133"/>
      <c r="X65" s="229"/>
      <c r="Y65" s="227"/>
      <c r="Z65" s="227"/>
      <c r="AA65" s="229"/>
      <c r="AB65" s="227"/>
      <c r="AC65" s="134"/>
      <c r="AD65" s="133"/>
      <c r="AE65" s="229"/>
      <c r="AF65" s="558">
        <f>SUM(B65:AE65)</f>
        <v>0</v>
      </c>
    </row>
    <row r="66" spans="1:32" ht="34.15" thickBot="1">
      <c r="A66" s="678" t="s">
        <v>40</v>
      </c>
      <c r="B66" s="267"/>
      <c r="C66" s="268"/>
      <c r="D66" s="268"/>
      <c r="E66" s="268"/>
      <c r="F66" s="269"/>
      <c r="G66" s="269"/>
      <c r="H66" s="268"/>
      <c r="I66" s="270"/>
      <c r="J66" s="270"/>
      <c r="K66" s="268"/>
      <c r="L66" s="268"/>
      <c r="M66" s="268"/>
      <c r="N66" s="271"/>
      <c r="O66" s="271"/>
      <c r="P66" s="268"/>
      <c r="Q66" s="268"/>
      <c r="R66" s="268"/>
      <c r="S66" s="269"/>
      <c r="T66" s="268"/>
      <c r="U66" s="271"/>
      <c r="V66" s="269"/>
      <c r="W66" s="269"/>
      <c r="X66" s="268"/>
      <c r="Y66" s="269"/>
      <c r="Z66" s="268"/>
      <c r="AA66" s="269"/>
      <c r="AB66" s="269"/>
      <c r="AC66" s="269"/>
      <c r="AD66" s="268"/>
      <c r="AE66" s="272"/>
      <c r="AF66" s="559" t="s">
        <v>41</v>
      </c>
    </row>
    <row r="67" spans="1:32" ht="34.15" thickBot="1">
      <c r="A67" s="679"/>
      <c r="B67" s="273"/>
      <c r="C67" s="274"/>
      <c r="D67" s="274"/>
      <c r="E67" s="274"/>
      <c r="F67" s="275"/>
      <c r="G67" s="275"/>
      <c r="H67" s="274"/>
      <c r="I67" s="276"/>
      <c r="J67" s="276"/>
      <c r="K67" s="274"/>
      <c r="L67" s="274"/>
      <c r="M67" s="274"/>
      <c r="N67" s="277"/>
      <c r="O67" s="278"/>
      <c r="P67" s="274"/>
      <c r="Q67" s="274"/>
      <c r="R67" s="274"/>
      <c r="S67" s="275"/>
      <c r="T67" s="274"/>
      <c r="U67" s="275"/>
      <c r="V67" s="275"/>
      <c r="W67" s="275"/>
      <c r="X67" s="274"/>
      <c r="Y67" s="275"/>
      <c r="Z67" s="274"/>
      <c r="AA67" s="275"/>
      <c r="AB67" s="275"/>
      <c r="AC67" s="275"/>
      <c r="AD67" s="274"/>
      <c r="AE67" s="279"/>
      <c r="AF67" s="499">
        <v>160</v>
      </c>
    </row>
    <row r="68" spans="1:32" ht="28.9" thickTop="1">
      <c r="A68" s="125" t="s">
        <v>42</v>
      </c>
      <c r="B68" s="126"/>
      <c r="C68" s="126"/>
      <c r="D68" s="124"/>
      <c r="E68" s="124"/>
      <c r="F68" s="124"/>
      <c r="G68" s="124"/>
      <c r="H68" s="127"/>
      <c r="I68" s="7"/>
      <c r="J68" s="7"/>
      <c r="K68" s="20" t="s">
        <v>43</v>
      </c>
      <c r="L68" s="21"/>
      <c r="M68" s="21"/>
      <c r="N68" s="21"/>
      <c r="O68" s="21"/>
      <c r="P68" s="128"/>
      <c r="Q68" s="128"/>
      <c r="R68" s="128"/>
      <c r="S68" s="128" t="s">
        <v>44</v>
      </c>
      <c r="T68" s="23"/>
      <c r="U68" s="129"/>
      <c r="V68" s="7"/>
      <c r="W68" s="7"/>
      <c r="X68" s="25"/>
      <c r="Y68" s="26"/>
      <c r="Z68" s="26"/>
      <c r="AA68" s="26"/>
      <c r="AB68" s="90" t="s">
        <v>45</v>
      </c>
      <c r="AC68" s="26"/>
      <c r="AD68" s="26"/>
      <c r="AE68" s="26"/>
      <c r="AF68" s="15"/>
    </row>
    <row r="69" spans="1:32" ht="28.15">
      <c r="A69" s="16" t="s">
        <v>46</v>
      </c>
      <c r="B69" s="17"/>
      <c r="C69" s="17"/>
      <c r="D69" s="18"/>
      <c r="E69" s="18"/>
      <c r="F69" s="18"/>
      <c r="G69" s="18"/>
      <c r="H69" s="19"/>
      <c r="I69" s="7"/>
      <c r="J69" s="7"/>
      <c r="K69" s="20" t="s">
        <v>47</v>
      </c>
      <c r="L69" s="21"/>
      <c r="M69" s="21"/>
      <c r="N69" s="21"/>
      <c r="O69" s="21"/>
      <c r="P69" s="128"/>
      <c r="Q69" s="128"/>
      <c r="R69" s="128" t="s">
        <v>48</v>
      </c>
      <c r="S69" s="23"/>
      <c r="T69" s="23"/>
      <c r="U69" s="24"/>
      <c r="V69" s="7"/>
      <c r="W69" s="7"/>
      <c r="X69" s="89"/>
      <c r="Y69" s="90"/>
      <c r="Z69" s="90"/>
      <c r="AA69" s="90"/>
      <c r="AB69" s="90"/>
      <c r="AC69" s="90"/>
      <c r="AD69" s="90"/>
      <c r="AE69" s="90"/>
      <c r="AF69" s="95"/>
    </row>
    <row r="70" spans="1:32" ht="28.15">
      <c r="A70" s="85" t="s">
        <v>49</v>
      </c>
      <c r="B70" s="86"/>
      <c r="C70" s="86"/>
      <c r="D70" s="10"/>
      <c r="E70" s="10"/>
      <c r="F70" s="10"/>
      <c r="G70" s="10"/>
      <c r="H70" s="87"/>
      <c r="I70" s="7"/>
      <c r="J70" s="7"/>
      <c r="K70" s="20" t="s">
        <v>50</v>
      </c>
      <c r="L70" s="21"/>
      <c r="M70" s="21"/>
      <c r="N70" s="21"/>
      <c r="O70" s="21"/>
      <c r="P70" s="128"/>
      <c r="Q70" s="128"/>
      <c r="R70" s="128"/>
      <c r="S70" s="128"/>
      <c r="T70" s="128"/>
      <c r="U70" s="129"/>
      <c r="V70" s="7"/>
      <c r="W70" s="7"/>
      <c r="X70" s="93"/>
      <c r="Y70" s="90"/>
      <c r="Z70" s="90"/>
      <c r="AA70" s="90"/>
      <c r="AB70" s="90"/>
      <c r="AC70" s="90"/>
      <c r="AD70" s="90"/>
      <c r="AE70" s="90"/>
      <c r="AF70" s="95"/>
    </row>
    <row r="71" spans="1:32" ht="28.9">
      <c r="A71" s="32" t="s">
        <v>51</v>
      </c>
      <c r="B71" s="33"/>
      <c r="C71" s="33"/>
      <c r="D71" s="34"/>
      <c r="E71" s="34"/>
      <c r="F71" s="34"/>
      <c r="G71" s="34"/>
      <c r="H71" s="35"/>
      <c r="I71" s="36"/>
      <c r="J71" s="36"/>
      <c r="K71" s="20" t="s">
        <v>70</v>
      </c>
      <c r="L71" s="21"/>
      <c r="M71" s="21"/>
      <c r="N71" s="21"/>
      <c r="O71" s="21"/>
      <c r="P71" s="21"/>
      <c r="Q71" s="21"/>
      <c r="R71" s="21"/>
      <c r="S71" s="202"/>
      <c r="T71" s="21"/>
      <c r="U71" s="203"/>
      <c r="V71" s="40"/>
      <c r="W71" s="6"/>
      <c r="X71" s="88"/>
      <c r="Y71" s="94"/>
      <c r="Z71" s="91"/>
      <c r="AA71" s="94"/>
      <c r="AB71" s="94"/>
      <c r="AC71" s="94"/>
      <c r="AD71" s="94"/>
      <c r="AE71" s="94"/>
      <c r="AF71" s="92"/>
    </row>
    <row r="72" spans="1:32" ht="28.9">
      <c r="A72" s="42" t="s">
        <v>53</v>
      </c>
      <c r="B72" s="43"/>
      <c r="C72" s="43"/>
      <c r="D72" s="43"/>
      <c r="E72" s="43"/>
      <c r="F72" s="43"/>
      <c r="G72" s="43"/>
      <c r="H72" s="44"/>
      <c r="I72" s="36"/>
      <c r="J72" s="36"/>
      <c r="K72" s="20" t="s">
        <v>71</v>
      </c>
      <c r="L72" s="21"/>
      <c r="M72" s="21"/>
      <c r="N72" s="21"/>
      <c r="O72" s="21"/>
      <c r="P72" s="21"/>
      <c r="Q72" s="21"/>
      <c r="R72" s="21"/>
      <c r="S72" s="202"/>
      <c r="T72" s="21"/>
      <c r="U72" s="203"/>
      <c r="V72" s="40"/>
      <c r="W72" s="6"/>
      <c r="X72" s="88"/>
      <c r="Y72" s="94"/>
      <c r="Z72" s="91"/>
      <c r="AA72" s="94"/>
      <c r="AB72" s="94"/>
      <c r="AC72" s="94"/>
      <c r="AD72" s="94"/>
      <c r="AE72" s="94"/>
      <c r="AF72" s="92"/>
    </row>
    <row r="73" spans="1:32" ht="28.9">
      <c r="A73" s="47" t="s">
        <v>55</v>
      </c>
      <c r="B73" s="48"/>
      <c r="C73" s="48"/>
      <c r="D73" s="49"/>
      <c r="E73" s="49"/>
      <c r="F73" s="49"/>
      <c r="G73" s="49"/>
      <c r="H73" s="50"/>
      <c r="I73" s="36"/>
      <c r="J73" s="36"/>
      <c r="K73" s="20" t="s">
        <v>56</v>
      </c>
      <c r="L73" s="21"/>
      <c r="M73" s="21"/>
      <c r="N73" s="21"/>
      <c r="O73" s="21"/>
      <c r="P73" s="21"/>
      <c r="Q73" s="21"/>
      <c r="R73" s="21"/>
      <c r="S73" s="202"/>
      <c r="T73" s="21"/>
      <c r="U73" s="204"/>
      <c r="V73" s="40"/>
      <c r="W73" s="6"/>
      <c r="X73" s="88"/>
      <c r="Y73" s="94"/>
      <c r="Z73" s="91"/>
      <c r="AA73" s="94"/>
      <c r="AB73" s="94"/>
      <c r="AC73" s="94"/>
      <c r="AD73" s="94"/>
      <c r="AE73" s="94"/>
      <c r="AF73" s="95"/>
    </row>
    <row r="74" spans="1:32" ht="28.9">
      <c r="A74" s="52" t="s">
        <v>57</v>
      </c>
      <c r="B74" s="53"/>
      <c r="C74" s="53"/>
      <c r="D74" s="53"/>
      <c r="E74" s="53"/>
      <c r="F74" s="53"/>
      <c r="G74" s="53"/>
      <c r="H74" s="54"/>
      <c r="I74" s="36"/>
      <c r="J74" s="36"/>
      <c r="K74" s="20" t="s">
        <v>58</v>
      </c>
      <c r="L74" s="21"/>
      <c r="M74" s="21"/>
      <c r="N74" s="21"/>
      <c r="O74" s="21"/>
      <c r="P74" s="21"/>
      <c r="Q74" s="21" t="s">
        <v>59</v>
      </c>
      <c r="R74" s="21"/>
      <c r="S74" s="202"/>
      <c r="T74" s="21"/>
      <c r="U74" s="203"/>
      <c r="V74" s="40"/>
      <c r="W74" s="6"/>
      <c r="X74" s="88"/>
      <c r="Y74" s="94"/>
      <c r="Z74" s="91"/>
      <c r="AA74" s="94"/>
      <c r="AB74" s="94"/>
      <c r="AC74" s="94"/>
      <c r="AD74" s="94"/>
      <c r="AE74" s="94"/>
      <c r="AF74" s="92"/>
    </row>
    <row r="75" spans="1:32" ht="28.9">
      <c r="A75" s="56" t="s">
        <v>60</v>
      </c>
      <c r="B75" s="57"/>
      <c r="C75" s="57"/>
      <c r="D75" s="58"/>
      <c r="E75" s="58"/>
      <c r="F75" s="58"/>
      <c r="G75" s="58"/>
      <c r="H75" s="59"/>
      <c r="I75" s="6"/>
      <c r="J75" s="6"/>
      <c r="K75" s="20" t="s">
        <v>61</v>
      </c>
      <c r="L75" s="21"/>
      <c r="M75" s="21"/>
      <c r="N75" s="21"/>
      <c r="O75" s="21"/>
      <c r="P75" s="21"/>
      <c r="Q75" s="21"/>
      <c r="R75" s="21"/>
      <c r="S75" s="202"/>
      <c r="T75" s="21"/>
      <c r="U75" s="204"/>
      <c r="V75" s="6"/>
      <c r="W75" s="6"/>
      <c r="X75" s="88"/>
      <c r="Y75" s="94"/>
      <c r="Z75" s="91"/>
      <c r="AA75" s="94"/>
      <c r="AB75" s="94"/>
      <c r="AC75" s="94"/>
      <c r="AD75" s="94"/>
      <c r="AE75" s="94"/>
      <c r="AF75" s="92"/>
    </row>
    <row r="76" spans="1:32" ht="29.45" thickBot="1">
      <c r="A76" s="60" t="s">
        <v>62</v>
      </c>
      <c r="B76" s="61"/>
      <c r="C76" s="61"/>
      <c r="D76" s="61"/>
      <c r="E76" s="61"/>
      <c r="F76" s="61"/>
      <c r="G76" s="61"/>
      <c r="H76" s="62"/>
      <c r="I76" s="6"/>
      <c r="J76" s="6"/>
      <c r="K76" s="63" t="s">
        <v>63</v>
      </c>
      <c r="L76" s="64"/>
      <c r="M76" s="64"/>
      <c r="N76" s="64"/>
      <c r="O76" s="64"/>
      <c r="P76" s="64"/>
      <c r="Q76" s="64"/>
      <c r="R76" s="64"/>
      <c r="S76" s="205"/>
      <c r="T76" s="64"/>
      <c r="U76" s="206"/>
      <c r="V76" s="6"/>
      <c r="W76" s="6"/>
      <c r="X76" s="96"/>
      <c r="Y76" s="97"/>
      <c r="Z76" s="98"/>
      <c r="AA76" s="97"/>
      <c r="AB76" s="97"/>
      <c r="AC76" s="97"/>
      <c r="AD76" s="97"/>
      <c r="AE76" s="97"/>
      <c r="AF76" s="99"/>
    </row>
    <row r="77" spans="1:32" ht="28.9">
      <c r="A77" s="6"/>
      <c r="B77" s="6"/>
      <c r="C77" s="6"/>
      <c r="D77" s="6"/>
      <c r="E77" s="6"/>
      <c r="F77" s="6"/>
      <c r="G77" s="6"/>
      <c r="H77" s="6"/>
      <c r="I77" s="6"/>
      <c r="J77" s="72"/>
      <c r="K77" s="73"/>
      <c r="L77" s="74"/>
      <c r="M77" s="74"/>
      <c r="N77" s="74"/>
      <c r="O77" s="74"/>
      <c r="P77" s="74"/>
      <c r="Q77" s="74"/>
      <c r="R77" s="72"/>
      <c r="S77" s="72"/>
      <c r="T77" s="72"/>
      <c r="U77" s="72"/>
      <c r="V77" s="72"/>
      <c r="W77" s="72"/>
      <c r="X77" s="72"/>
      <c r="Y77" s="72"/>
      <c r="Z77" s="6"/>
      <c r="AA77" s="6"/>
      <c r="AB77" s="6"/>
      <c r="AC77" s="6"/>
      <c r="AD77" s="6"/>
      <c r="AE77" s="6"/>
      <c r="AF77" s="6"/>
    </row>
    <row r="78" spans="1:32" ht="28.9">
      <c r="A78" s="6" t="s">
        <v>64</v>
      </c>
      <c r="B78" s="6"/>
      <c r="C78" s="6"/>
      <c r="D78" s="6"/>
      <c r="E78" s="6"/>
      <c r="F78" s="6"/>
      <c r="G78" s="6"/>
      <c r="H78" s="6" t="s">
        <v>65</v>
      </c>
      <c r="I78" s="6"/>
      <c r="J78" s="72"/>
      <c r="K78" s="73"/>
      <c r="L78" s="74"/>
      <c r="M78" s="74"/>
      <c r="N78" s="74"/>
      <c r="O78" s="74"/>
      <c r="P78" s="74" t="s">
        <v>66</v>
      </c>
      <c r="Q78" s="74"/>
      <c r="R78" s="72"/>
      <c r="S78" s="72"/>
      <c r="T78" s="72"/>
      <c r="U78" s="72"/>
      <c r="V78" s="72"/>
      <c r="W78" s="72"/>
      <c r="X78" s="72"/>
      <c r="Y78" s="72"/>
      <c r="Z78" s="6"/>
      <c r="AA78" s="6" t="s">
        <v>67</v>
      </c>
      <c r="AB78" s="6"/>
      <c r="AC78" s="6"/>
      <c r="AD78" s="6"/>
      <c r="AE78" s="6"/>
      <c r="AF78" s="6"/>
    </row>
    <row r="79" spans="1:32" ht="28.9">
      <c r="P79" s="74" t="s">
        <v>68</v>
      </c>
      <c r="Q79" s="74"/>
    </row>
  </sheetData>
  <mergeCells count="1">
    <mergeCell ref="A66:A67"/>
  </mergeCells>
  <pageMargins left="0.7" right="0.7" top="0.75" bottom="0.75" header="0.3" footer="0.3"/>
  <pageSetup paperSize="9" orientation="landscape"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35C3-BA32-B64B-B32F-BFE66C435231}">
  <dimension ref="A1:AI80"/>
  <sheetViews>
    <sheetView showGridLines="0" zoomScale="50" zoomScaleNormal="40" workbookViewId="0">
      <selection activeCell="AG62" sqref="AG62"/>
    </sheetView>
  </sheetViews>
  <sheetFormatPr defaultColWidth="8.7109375" defaultRowHeight="14.45"/>
  <cols>
    <col min="1" max="1" width="19.7109375" customWidth="1"/>
    <col min="4" max="4" width="8.7109375" style="1"/>
    <col min="5" max="5" width="8.7109375" customWidth="1"/>
    <col min="11" max="11" width="8.140625" customWidth="1"/>
    <col min="23" max="23" width="9.42578125" customWidth="1"/>
    <col min="26" max="26" width="9.140625" customWidth="1"/>
    <col min="33" max="33" width="11.140625" customWidth="1"/>
    <col min="34" max="34" width="20.42578125" customWidth="1"/>
  </cols>
  <sheetData>
    <row r="1" spans="1:34" ht="28.9" thickTop="1" thickBot="1">
      <c r="A1" s="185" t="s">
        <v>0</v>
      </c>
      <c r="B1" s="280">
        <v>1</v>
      </c>
      <c r="C1" s="281">
        <v>2</v>
      </c>
      <c r="D1" s="281">
        <v>3</v>
      </c>
      <c r="E1" s="282">
        <v>4</v>
      </c>
      <c r="F1" s="140">
        <v>5</v>
      </c>
      <c r="G1" s="140">
        <v>6</v>
      </c>
      <c r="H1" s="281">
        <v>7</v>
      </c>
      <c r="I1" s="281">
        <v>8</v>
      </c>
      <c r="J1" s="281">
        <v>9</v>
      </c>
      <c r="K1" s="369">
        <v>10</v>
      </c>
      <c r="L1" s="283">
        <v>11</v>
      </c>
      <c r="M1" s="192">
        <v>12</v>
      </c>
      <c r="N1" s="140">
        <v>13</v>
      </c>
      <c r="O1" s="281">
        <v>14</v>
      </c>
      <c r="P1" s="283">
        <v>15</v>
      </c>
      <c r="Q1" s="281">
        <v>16</v>
      </c>
      <c r="R1" s="283">
        <v>17</v>
      </c>
      <c r="S1" s="281">
        <v>18</v>
      </c>
      <c r="T1" s="140">
        <v>19</v>
      </c>
      <c r="U1" s="142">
        <v>20</v>
      </c>
      <c r="V1" s="281">
        <v>21</v>
      </c>
      <c r="W1" s="283">
        <v>22</v>
      </c>
      <c r="X1" s="281">
        <v>23</v>
      </c>
      <c r="Y1" s="402">
        <v>24</v>
      </c>
      <c r="Z1" s="281">
        <v>25</v>
      </c>
      <c r="AA1" s="142">
        <v>26</v>
      </c>
      <c r="AB1" s="140">
        <v>27</v>
      </c>
      <c r="AC1" s="283">
        <v>28</v>
      </c>
      <c r="AD1" s="281">
        <v>29</v>
      </c>
      <c r="AE1" s="281">
        <v>30</v>
      </c>
      <c r="AF1" s="285">
        <v>31</v>
      </c>
      <c r="AG1" s="176" t="s">
        <v>1</v>
      </c>
      <c r="AH1" s="485" t="s">
        <v>2</v>
      </c>
    </row>
    <row r="2" spans="1:34" ht="29.45" thickBot="1">
      <c r="A2" s="186" t="s">
        <v>81</v>
      </c>
      <c r="B2" s="290" t="s">
        <v>10</v>
      </c>
      <c r="C2" s="120" t="s">
        <v>4</v>
      </c>
      <c r="D2" s="119" t="s">
        <v>5</v>
      </c>
      <c r="E2" s="119" t="s">
        <v>6</v>
      </c>
      <c r="F2" s="181" t="s">
        <v>7</v>
      </c>
      <c r="G2" s="181" t="s">
        <v>8</v>
      </c>
      <c r="H2" s="119" t="s">
        <v>9</v>
      </c>
      <c r="I2" s="120" t="s">
        <v>10</v>
      </c>
      <c r="J2" s="120" t="s">
        <v>4</v>
      </c>
      <c r="K2" s="407" t="s">
        <v>5</v>
      </c>
      <c r="L2" s="120" t="s">
        <v>6</v>
      </c>
      <c r="M2" s="346" t="s">
        <v>7</v>
      </c>
      <c r="N2" s="181" t="s">
        <v>8</v>
      </c>
      <c r="O2" s="119" t="s">
        <v>9</v>
      </c>
      <c r="P2" s="120" t="s">
        <v>10</v>
      </c>
      <c r="Q2" s="120" t="s">
        <v>4</v>
      </c>
      <c r="R2" s="120" t="s">
        <v>5</v>
      </c>
      <c r="S2" s="120" t="s">
        <v>6</v>
      </c>
      <c r="T2" s="346" t="s">
        <v>7</v>
      </c>
      <c r="U2" s="181" t="s">
        <v>8</v>
      </c>
      <c r="V2" s="119" t="s">
        <v>9</v>
      </c>
      <c r="W2" s="120" t="s">
        <v>10</v>
      </c>
      <c r="X2" s="120" t="s">
        <v>4</v>
      </c>
      <c r="Y2" s="407" t="s">
        <v>5</v>
      </c>
      <c r="Z2" s="120" t="s">
        <v>6</v>
      </c>
      <c r="AA2" s="346" t="s">
        <v>7</v>
      </c>
      <c r="AB2" s="181" t="s">
        <v>8</v>
      </c>
      <c r="AC2" s="9" t="s">
        <v>9</v>
      </c>
      <c r="AD2" s="287" t="s">
        <v>10</v>
      </c>
      <c r="AE2" s="120" t="s">
        <v>4</v>
      </c>
      <c r="AF2" s="120" t="s">
        <v>5</v>
      </c>
      <c r="AG2" s="214">
        <f>SUM(AG5,AG8,AG11,AG17,AG20,AG23,AG26,AG29,AG32,AG35,AG38,AG41,AG44,AG47,AG50,AG53,AG56,AG59)</f>
        <v>62</v>
      </c>
      <c r="AH2" s="486" t="s">
        <v>11</v>
      </c>
    </row>
    <row r="3" spans="1:34" ht="28.9" thickBot="1">
      <c r="A3" s="146" t="s">
        <v>12</v>
      </c>
      <c r="B3" s="292" t="s">
        <v>13</v>
      </c>
      <c r="C3" s="220" t="s">
        <v>13</v>
      </c>
      <c r="D3" s="220" t="s">
        <v>13</v>
      </c>
      <c r="E3" s="220" t="s">
        <v>13</v>
      </c>
      <c r="F3" s="122"/>
      <c r="G3" s="122"/>
      <c r="H3" s="624" t="s">
        <v>13</v>
      </c>
      <c r="I3" s="624" t="s">
        <v>13</v>
      </c>
      <c r="J3" s="624" t="s">
        <v>13</v>
      </c>
      <c r="K3" s="624" t="s">
        <v>13</v>
      </c>
      <c r="L3" s="624" t="s">
        <v>13</v>
      </c>
      <c r="M3" s="628"/>
      <c r="N3" s="624"/>
      <c r="O3" s="220" t="s">
        <v>13</v>
      </c>
      <c r="P3" s="220" t="s">
        <v>13</v>
      </c>
      <c r="Q3" s="220" t="s">
        <v>13</v>
      </c>
      <c r="R3" s="220" t="s">
        <v>13</v>
      </c>
      <c r="S3" s="220" t="s">
        <v>13</v>
      </c>
      <c r="T3" s="122"/>
      <c r="U3" s="122"/>
      <c r="V3" s="624" t="s">
        <v>13</v>
      </c>
      <c r="W3" s="624" t="s">
        <v>13</v>
      </c>
      <c r="X3" s="624" t="s">
        <v>13</v>
      </c>
      <c r="Y3" s="624" t="s">
        <v>13</v>
      </c>
      <c r="Z3" s="624" t="s">
        <v>13</v>
      </c>
      <c r="AA3" s="628"/>
      <c r="AB3" s="624"/>
      <c r="AC3" s="220" t="s">
        <v>13</v>
      </c>
      <c r="AD3" s="220" t="s">
        <v>13</v>
      </c>
      <c r="AE3" s="220" t="s">
        <v>13</v>
      </c>
      <c r="AF3" s="220" t="s">
        <v>13</v>
      </c>
      <c r="AG3" s="215">
        <f t="shared" ref="AG3:AG32" si="0">SUM(B3:AF3)</f>
        <v>0</v>
      </c>
      <c r="AH3" s="487"/>
    </row>
    <row r="4" spans="1:34" ht="28.9" thickBot="1">
      <c r="A4" s="146" t="s">
        <v>14</v>
      </c>
      <c r="B4" s="223">
        <v>7.5</v>
      </c>
      <c r="C4" s="224">
        <v>7.5</v>
      </c>
      <c r="D4" s="224">
        <v>7.5</v>
      </c>
      <c r="E4" s="224">
        <v>7.5</v>
      </c>
      <c r="F4" s="103"/>
      <c r="G4" s="103"/>
      <c r="H4" s="224">
        <v>7.5</v>
      </c>
      <c r="I4" s="224">
        <v>7.5</v>
      </c>
      <c r="J4" s="224">
        <v>7.5</v>
      </c>
      <c r="K4" s="372">
        <v>7.5</v>
      </c>
      <c r="L4" s="224">
        <v>7.5</v>
      </c>
      <c r="M4" s="103"/>
      <c r="N4" s="103"/>
      <c r="O4" s="224">
        <v>7.5</v>
      </c>
      <c r="P4" s="224">
        <v>7.5</v>
      </c>
      <c r="Q4" s="224">
        <v>7.5</v>
      </c>
      <c r="R4" s="224">
        <v>7.5</v>
      </c>
      <c r="S4" s="224">
        <v>7.5</v>
      </c>
      <c r="T4" s="103"/>
      <c r="U4" s="103"/>
      <c r="V4" s="224">
        <v>7.5</v>
      </c>
      <c r="W4" s="224">
        <v>7.5</v>
      </c>
      <c r="X4" s="224">
        <v>7.5</v>
      </c>
      <c r="Y4" s="372">
        <v>7.5</v>
      </c>
      <c r="Z4" s="224">
        <v>7.5</v>
      </c>
      <c r="AA4" s="103"/>
      <c r="AB4" s="103"/>
      <c r="AC4" s="224">
        <v>7.5</v>
      </c>
      <c r="AD4" s="224">
        <v>7.5</v>
      </c>
      <c r="AE4" s="224">
        <v>7.5</v>
      </c>
      <c r="AF4" s="224">
        <v>7.5</v>
      </c>
      <c r="AG4" s="496">
        <f t="shared" si="0"/>
        <v>172.5</v>
      </c>
      <c r="AH4" s="488"/>
    </row>
    <row r="5" spans="1:34" ht="28.9" thickBot="1">
      <c r="A5" s="368" t="s">
        <v>15</v>
      </c>
      <c r="B5" s="223"/>
      <c r="C5" s="224"/>
      <c r="D5" s="224"/>
      <c r="E5" s="294"/>
      <c r="F5" s="103"/>
      <c r="G5" s="103"/>
      <c r="H5" s="224"/>
      <c r="I5" s="224"/>
      <c r="J5" s="224"/>
      <c r="K5" s="409"/>
      <c r="L5" s="224"/>
      <c r="M5" s="145"/>
      <c r="N5" s="103"/>
      <c r="O5" s="257"/>
      <c r="P5" s="224"/>
      <c r="Q5" s="257"/>
      <c r="R5" s="224"/>
      <c r="S5" s="224"/>
      <c r="T5" s="145"/>
      <c r="U5" s="103"/>
      <c r="V5" s="257"/>
      <c r="W5" s="224"/>
      <c r="X5" s="257"/>
      <c r="Y5" s="372"/>
      <c r="Z5" s="225"/>
      <c r="AA5" s="104"/>
      <c r="AB5" s="103"/>
      <c r="AC5" s="257"/>
      <c r="AD5" s="224"/>
      <c r="AE5" s="224"/>
      <c r="AF5" s="224"/>
      <c r="AG5" s="497">
        <f t="shared" si="0"/>
        <v>0</v>
      </c>
      <c r="AH5" s="489"/>
    </row>
    <row r="6" spans="1:34" ht="28.9" thickBot="1">
      <c r="A6" s="146" t="s">
        <v>16</v>
      </c>
      <c r="B6" s="627" t="s">
        <v>13</v>
      </c>
      <c r="C6" s="624" t="s">
        <v>13</v>
      </c>
      <c r="D6" s="624" t="s">
        <v>13</v>
      </c>
      <c r="E6" s="624" t="s">
        <v>13</v>
      </c>
      <c r="F6" s="624"/>
      <c r="G6" s="624"/>
      <c r="H6" s="220" t="s">
        <v>13</v>
      </c>
      <c r="I6" s="220" t="s">
        <v>13</v>
      </c>
      <c r="J6" s="220" t="s">
        <v>13</v>
      </c>
      <c r="K6" s="382" t="s">
        <v>13</v>
      </c>
      <c r="L6" s="220" t="s">
        <v>13</v>
      </c>
      <c r="M6" s="342"/>
      <c r="N6" s="122"/>
      <c r="O6" s="624" t="s">
        <v>13</v>
      </c>
      <c r="P6" s="624" t="s">
        <v>13</v>
      </c>
      <c r="Q6" s="624" t="s">
        <v>13</v>
      </c>
      <c r="R6" s="624" t="s">
        <v>13</v>
      </c>
      <c r="S6" s="624" t="s">
        <v>13</v>
      </c>
      <c r="T6" s="624"/>
      <c r="U6" s="624"/>
      <c r="V6" s="220" t="s">
        <v>13</v>
      </c>
      <c r="W6" s="220" t="s">
        <v>13</v>
      </c>
      <c r="X6" s="220" t="s">
        <v>13</v>
      </c>
      <c r="Y6" s="382" t="s">
        <v>13</v>
      </c>
      <c r="Z6" s="220" t="s">
        <v>13</v>
      </c>
      <c r="AA6" s="342"/>
      <c r="AB6" s="122"/>
      <c r="AC6" s="624" t="s">
        <v>13</v>
      </c>
      <c r="AD6" s="624" t="s">
        <v>13</v>
      </c>
      <c r="AE6" s="624" t="s">
        <v>13</v>
      </c>
      <c r="AF6" s="624" t="s">
        <v>13</v>
      </c>
      <c r="AG6" s="215">
        <f t="shared" si="0"/>
        <v>0</v>
      </c>
      <c r="AH6" s="490"/>
    </row>
    <row r="7" spans="1:34" ht="28.9" thickBot="1">
      <c r="A7" s="146" t="s">
        <v>19</v>
      </c>
      <c r="B7" s="223">
        <v>7.5</v>
      </c>
      <c r="C7" s="224">
        <v>7.5</v>
      </c>
      <c r="D7" s="224">
        <v>7.5</v>
      </c>
      <c r="E7" s="224">
        <v>7.5</v>
      </c>
      <c r="F7" s="103"/>
      <c r="G7" s="103"/>
      <c r="H7" s="224">
        <v>7.5</v>
      </c>
      <c r="I7" s="224">
        <v>7.5</v>
      </c>
      <c r="J7" s="224">
        <v>7.5</v>
      </c>
      <c r="K7" s="372">
        <v>7.5</v>
      </c>
      <c r="L7" s="224">
        <v>7.5</v>
      </c>
      <c r="M7" s="103"/>
      <c r="N7" s="103"/>
      <c r="O7" s="224">
        <v>7.5</v>
      </c>
      <c r="P7" s="224">
        <v>7.5</v>
      </c>
      <c r="Q7" s="224">
        <v>7.5</v>
      </c>
      <c r="R7" s="224">
        <v>7.5</v>
      </c>
      <c r="S7" s="224">
        <v>7.5</v>
      </c>
      <c r="T7" s="103"/>
      <c r="U7" s="103"/>
      <c r="V7" s="224">
        <v>7.5</v>
      </c>
      <c r="W7" s="224">
        <v>7.5</v>
      </c>
      <c r="X7" s="224">
        <v>7.5</v>
      </c>
      <c r="Y7" s="372">
        <v>7.5</v>
      </c>
      <c r="Z7" s="224">
        <v>7.5</v>
      </c>
      <c r="AA7" s="103"/>
      <c r="AB7" s="103"/>
      <c r="AC7" s="224">
        <v>7.5</v>
      </c>
      <c r="AD7" s="224">
        <v>7.5</v>
      </c>
      <c r="AE7" s="224">
        <v>7.5</v>
      </c>
      <c r="AF7" s="224">
        <v>7.5</v>
      </c>
      <c r="AG7" s="496">
        <f t="shared" si="0"/>
        <v>172.5</v>
      </c>
      <c r="AH7" s="491">
        <f>SUM(AG7-AG61)</f>
        <v>7</v>
      </c>
    </row>
    <row r="8" spans="1:34" ht="28.9" thickBot="1">
      <c r="A8" s="368" t="s">
        <v>20</v>
      </c>
      <c r="B8" s="631"/>
      <c r="C8" s="632"/>
      <c r="D8" s="632"/>
      <c r="E8" s="642"/>
      <c r="F8" s="634"/>
      <c r="G8" s="634"/>
      <c r="H8" s="632"/>
      <c r="I8" s="632"/>
      <c r="J8" s="632"/>
      <c r="K8" s="638"/>
      <c r="L8" s="632"/>
      <c r="M8" s="637"/>
      <c r="N8" s="634"/>
      <c r="O8" s="636"/>
      <c r="P8" s="632"/>
      <c r="Q8" s="636"/>
      <c r="R8" s="632"/>
      <c r="S8" s="632"/>
      <c r="T8" s="637"/>
      <c r="U8" s="634"/>
      <c r="V8" s="636"/>
      <c r="W8" s="632"/>
      <c r="X8" s="636"/>
      <c r="Y8" s="635"/>
      <c r="Z8" s="643"/>
      <c r="AA8" s="639"/>
      <c r="AB8" s="634"/>
      <c r="AC8" s="636"/>
      <c r="AD8" s="632"/>
      <c r="AE8" s="632"/>
      <c r="AF8" s="640"/>
      <c r="AG8" s="497">
        <f t="shared" si="0"/>
        <v>0</v>
      </c>
      <c r="AH8" s="492"/>
    </row>
    <row r="9" spans="1:34" ht="28.9" thickBot="1">
      <c r="A9" s="146" t="s">
        <v>21</v>
      </c>
      <c r="B9" s="223" t="s">
        <v>18</v>
      </c>
      <c r="C9" s="224"/>
      <c r="D9" s="224"/>
      <c r="E9" s="248"/>
      <c r="F9" s="108"/>
      <c r="G9" s="103" t="s">
        <v>18</v>
      </c>
      <c r="H9" s="224" t="s">
        <v>18</v>
      </c>
      <c r="I9" s="224"/>
      <c r="J9" s="224"/>
      <c r="K9" s="372"/>
      <c r="L9" s="297"/>
      <c r="M9" s="109" t="s">
        <v>18</v>
      </c>
      <c r="N9" s="103" t="s">
        <v>18</v>
      </c>
      <c r="O9" s="224"/>
      <c r="P9" s="246"/>
      <c r="Q9" s="248"/>
      <c r="R9" s="246"/>
      <c r="S9" s="246" t="s">
        <v>18</v>
      </c>
      <c r="T9" s="107" t="s">
        <v>18</v>
      </c>
      <c r="U9" s="108"/>
      <c r="V9" s="246"/>
      <c r="W9" s="248"/>
      <c r="X9" s="247"/>
      <c r="Y9" s="376" t="s">
        <v>18</v>
      </c>
      <c r="Z9" s="248" t="s">
        <v>18</v>
      </c>
      <c r="AA9" s="108"/>
      <c r="AB9" s="108"/>
      <c r="AC9" s="248"/>
      <c r="AD9" s="248"/>
      <c r="AE9" s="248" t="s">
        <v>18</v>
      </c>
      <c r="AF9" s="248" t="s">
        <v>18</v>
      </c>
      <c r="AG9" s="215">
        <f t="shared" si="0"/>
        <v>0</v>
      </c>
      <c r="AH9" s="493"/>
    </row>
    <row r="10" spans="1:34" ht="28.9" thickBot="1">
      <c r="A10" s="146" t="s">
        <v>22</v>
      </c>
      <c r="B10" s="255">
        <v>15</v>
      </c>
      <c r="C10" s="246">
        <v>0.5</v>
      </c>
      <c r="D10" s="246"/>
      <c r="E10" s="248"/>
      <c r="F10" s="108"/>
      <c r="G10" s="108">
        <v>15</v>
      </c>
      <c r="H10" s="248">
        <v>15</v>
      </c>
      <c r="I10" s="246">
        <v>0.5</v>
      </c>
      <c r="J10" s="246"/>
      <c r="K10" s="375">
        <v>5</v>
      </c>
      <c r="L10" s="246"/>
      <c r="M10" s="109">
        <v>15</v>
      </c>
      <c r="N10" s="108">
        <v>15</v>
      </c>
      <c r="O10" s="246">
        <v>0.5</v>
      </c>
      <c r="P10" s="246"/>
      <c r="Q10" s="248"/>
      <c r="R10" s="246"/>
      <c r="S10" s="246">
        <v>15</v>
      </c>
      <c r="T10" s="107">
        <v>15</v>
      </c>
      <c r="U10" s="108">
        <v>0.5</v>
      </c>
      <c r="V10" s="246"/>
      <c r="W10" s="248"/>
      <c r="X10" s="246"/>
      <c r="Y10" s="376">
        <v>15</v>
      </c>
      <c r="Z10" s="248">
        <v>15</v>
      </c>
      <c r="AA10" s="109">
        <v>0.5</v>
      </c>
      <c r="AB10" s="108"/>
      <c r="AC10" s="248"/>
      <c r="AD10" s="248"/>
      <c r="AE10" s="248">
        <v>15</v>
      </c>
      <c r="AF10" s="248">
        <v>15</v>
      </c>
      <c r="AG10" s="496">
        <f t="shared" si="0"/>
        <v>172.5</v>
      </c>
      <c r="AH10" s="491">
        <f>SUM(AG10-AG61)</f>
        <v>7</v>
      </c>
    </row>
    <row r="11" spans="1:34" ht="28.9" thickBot="1">
      <c r="A11" s="368" t="s">
        <v>23</v>
      </c>
      <c r="B11" s="226">
        <v>1</v>
      </c>
      <c r="C11" s="227"/>
      <c r="D11" s="227"/>
      <c r="E11" s="228"/>
      <c r="F11" s="133"/>
      <c r="G11" s="133">
        <v>1</v>
      </c>
      <c r="H11" s="227">
        <v>1</v>
      </c>
      <c r="I11" s="227"/>
      <c r="J11" s="227"/>
      <c r="K11" s="380"/>
      <c r="L11" s="227"/>
      <c r="M11" s="134">
        <v>1</v>
      </c>
      <c r="N11" s="133">
        <v>1</v>
      </c>
      <c r="O11" s="227"/>
      <c r="P11" s="228"/>
      <c r="Q11" s="229"/>
      <c r="R11" s="227"/>
      <c r="S11" s="227">
        <v>1</v>
      </c>
      <c r="T11" s="134">
        <v>1</v>
      </c>
      <c r="U11" s="133"/>
      <c r="V11" s="229"/>
      <c r="W11" s="227"/>
      <c r="X11" s="229"/>
      <c r="Y11" s="373">
        <v>1</v>
      </c>
      <c r="Z11" s="229">
        <v>1</v>
      </c>
      <c r="AA11" s="136"/>
      <c r="AB11" s="133"/>
      <c r="AC11" s="229"/>
      <c r="AD11" s="227"/>
      <c r="AE11" s="227">
        <v>1</v>
      </c>
      <c r="AF11" s="227">
        <v>1</v>
      </c>
      <c r="AG11" s="497">
        <f t="shared" si="0"/>
        <v>11</v>
      </c>
      <c r="AH11" s="494"/>
    </row>
    <row r="12" spans="1:34" ht="28.9" hidden="1" thickBot="1">
      <c r="A12" s="146"/>
      <c r="B12" s="218"/>
      <c r="C12" s="219"/>
      <c r="D12" s="262"/>
      <c r="E12" s="298"/>
      <c r="F12" s="105"/>
      <c r="G12" s="114"/>
      <c r="H12" s="219"/>
      <c r="I12" s="219"/>
      <c r="J12" s="262"/>
      <c r="K12" s="418"/>
      <c r="L12" s="222"/>
      <c r="M12" s="106"/>
      <c r="N12" s="114"/>
      <c r="O12" s="219"/>
      <c r="P12" s="222"/>
      <c r="Q12" s="253"/>
      <c r="R12" s="222"/>
      <c r="S12" s="222"/>
      <c r="T12" s="111"/>
      <c r="U12" s="105"/>
      <c r="V12" s="222"/>
      <c r="W12" s="253"/>
      <c r="X12" s="222"/>
      <c r="Y12" s="379"/>
      <c r="Z12" s="253"/>
      <c r="AA12" s="106"/>
      <c r="AB12" s="105"/>
      <c r="AC12" s="253"/>
      <c r="AD12" s="253"/>
      <c r="AE12" s="253"/>
      <c r="AF12" s="253"/>
      <c r="AG12" s="215">
        <f t="shared" si="0"/>
        <v>0</v>
      </c>
      <c r="AH12" s="490"/>
    </row>
    <row r="13" spans="1:34" ht="28.9" hidden="1" thickBot="1">
      <c r="A13" s="146"/>
      <c r="B13" s="255"/>
      <c r="C13" s="246"/>
      <c r="D13" s="297"/>
      <c r="E13" s="300"/>
      <c r="F13" s="108"/>
      <c r="G13" s="108"/>
      <c r="H13" s="248"/>
      <c r="I13" s="246"/>
      <c r="J13" s="297"/>
      <c r="K13" s="419"/>
      <c r="L13" s="246"/>
      <c r="M13" s="109"/>
      <c r="N13" s="108"/>
      <c r="O13" s="246"/>
      <c r="P13" s="246"/>
      <c r="Q13" s="248"/>
      <c r="R13" s="246"/>
      <c r="S13" s="246"/>
      <c r="T13" s="107"/>
      <c r="U13" s="108"/>
      <c r="V13" s="246"/>
      <c r="W13" s="248"/>
      <c r="X13" s="246"/>
      <c r="Y13" s="376"/>
      <c r="Z13" s="248"/>
      <c r="AA13" s="109"/>
      <c r="AB13" s="108"/>
      <c r="AC13" s="248"/>
      <c r="AD13" s="248"/>
      <c r="AE13" s="248"/>
      <c r="AF13" s="248"/>
      <c r="AG13" s="496">
        <f t="shared" si="0"/>
        <v>0</v>
      </c>
      <c r="AH13" s="491">
        <f>SUM(AG13-AG58)</f>
        <v>0</v>
      </c>
    </row>
    <row r="14" spans="1:34" ht="28.9" hidden="1" thickBot="1">
      <c r="A14" s="368"/>
      <c r="B14" s="226"/>
      <c r="C14" s="227"/>
      <c r="D14" s="227"/>
      <c r="E14" s="228"/>
      <c r="F14" s="133"/>
      <c r="G14" s="133"/>
      <c r="H14" s="227"/>
      <c r="I14" s="227"/>
      <c r="J14" s="227"/>
      <c r="K14" s="380"/>
      <c r="L14" s="227"/>
      <c r="M14" s="134"/>
      <c r="N14" s="133"/>
      <c r="O14" s="227"/>
      <c r="P14" s="228"/>
      <c r="Q14" s="229"/>
      <c r="R14" s="227"/>
      <c r="S14" s="227"/>
      <c r="T14" s="134"/>
      <c r="U14" s="133"/>
      <c r="V14" s="229"/>
      <c r="W14" s="227"/>
      <c r="X14" s="229"/>
      <c r="Y14" s="373"/>
      <c r="Z14" s="229"/>
      <c r="AA14" s="136"/>
      <c r="AB14" s="133"/>
      <c r="AC14" s="229"/>
      <c r="AD14" s="227"/>
      <c r="AE14" s="227"/>
      <c r="AF14" s="227"/>
      <c r="AG14" s="497">
        <f t="shared" si="0"/>
        <v>0</v>
      </c>
      <c r="AH14" s="494"/>
    </row>
    <row r="15" spans="1:34" ht="28.9" thickBot="1">
      <c r="A15" s="146" t="s">
        <v>24</v>
      </c>
      <c r="B15" s="249"/>
      <c r="C15" s="251"/>
      <c r="D15" s="251"/>
      <c r="E15" s="246" t="s">
        <v>18</v>
      </c>
      <c r="F15" s="108" t="s">
        <v>18</v>
      </c>
      <c r="G15" s="102"/>
      <c r="H15" s="251"/>
      <c r="I15" s="251"/>
      <c r="J15" s="251"/>
      <c r="K15" s="399" t="s">
        <v>18</v>
      </c>
      <c r="L15" s="246" t="s">
        <v>18</v>
      </c>
      <c r="M15" s="109"/>
      <c r="N15" s="347"/>
      <c r="O15" s="251"/>
      <c r="P15" s="222"/>
      <c r="Q15" s="246" t="s">
        <v>18</v>
      </c>
      <c r="R15" s="252" t="s">
        <v>18</v>
      </c>
      <c r="S15" s="302"/>
      <c r="T15" s="334"/>
      <c r="U15" s="111"/>
      <c r="V15" s="222"/>
      <c r="W15" s="222" t="s">
        <v>18</v>
      </c>
      <c r="X15" s="253" t="s">
        <v>18</v>
      </c>
      <c r="Y15" s="379"/>
      <c r="Z15" s="262"/>
      <c r="AA15" s="112"/>
      <c r="AB15" s="105"/>
      <c r="AC15" s="248" t="s">
        <v>18</v>
      </c>
      <c r="AD15" s="248" t="s">
        <v>18</v>
      </c>
      <c r="AE15" s="248"/>
      <c r="AF15" s="248"/>
      <c r="AG15" s="215">
        <f t="shared" si="0"/>
        <v>0</v>
      </c>
      <c r="AH15" s="490"/>
    </row>
    <row r="16" spans="1:34" ht="28.9" thickBot="1">
      <c r="A16" s="146" t="s">
        <v>25</v>
      </c>
      <c r="B16" s="255"/>
      <c r="C16" s="248"/>
      <c r="D16" s="246"/>
      <c r="E16" s="246">
        <v>15</v>
      </c>
      <c r="F16" s="108">
        <v>15</v>
      </c>
      <c r="G16" s="108">
        <v>0.5</v>
      </c>
      <c r="H16" s="246"/>
      <c r="I16" s="248"/>
      <c r="J16" s="246"/>
      <c r="K16" s="376">
        <v>15</v>
      </c>
      <c r="L16" s="246">
        <v>15</v>
      </c>
      <c r="M16" s="109">
        <v>0.5</v>
      </c>
      <c r="N16" s="108"/>
      <c r="O16" s="248"/>
      <c r="P16" s="246"/>
      <c r="Q16" s="246">
        <v>15</v>
      </c>
      <c r="R16" s="252">
        <v>15</v>
      </c>
      <c r="S16" s="246">
        <v>0.5</v>
      </c>
      <c r="T16" s="108"/>
      <c r="U16" s="107"/>
      <c r="V16" s="246"/>
      <c r="W16" s="246">
        <v>15</v>
      </c>
      <c r="X16" s="246">
        <v>15</v>
      </c>
      <c r="Y16" s="376">
        <v>5.5</v>
      </c>
      <c r="Z16" s="244"/>
      <c r="AA16" s="113"/>
      <c r="AB16" s="108"/>
      <c r="AC16" s="248">
        <v>15</v>
      </c>
      <c r="AD16" s="248">
        <v>15</v>
      </c>
      <c r="AE16" s="248">
        <v>0.5</v>
      </c>
      <c r="AF16" s="248"/>
      <c r="AG16" s="496">
        <f t="shared" si="0"/>
        <v>157.5</v>
      </c>
      <c r="AH16" s="491">
        <f>SUM(AG16-AG61)</f>
        <v>-8</v>
      </c>
    </row>
    <row r="17" spans="1:34" ht="28.9" thickBot="1">
      <c r="A17" s="368" t="s">
        <v>23</v>
      </c>
      <c r="B17" s="303"/>
      <c r="C17" s="304"/>
      <c r="D17" s="304"/>
      <c r="E17" s="305">
        <v>1</v>
      </c>
      <c r="F17" s="177">
        <v>1</v>
      </c>
      <c r="G17" s="177"/>
      <c r="H17" s="304"/>
      <c r="I17" s="304"/>
      <c r="J17" s="304"/>
      <c r="K17" s="400">
        <v>1</v>
      </c>
      <c r="L17" s="304">
        <v>1</v>
      </c>
      <c r="M17" s="179"/>
      <c r="N17" s="177"/>
      <c r="O17" s="306"/>
      <c r="P17" s="304"/>
      <c r="Q17" s="306">
        <v>1</v>
      </c>
      <c r="R17" s="304">
        <v>1</v>
      </c>
      <c r="S17" s="304"/>
      <c r="T17" s="179"/>
      <c r="U17" s="177"/>
      <c r="V17" s="306"/>
      <c r="W17" s="304">
        <v>1</v>
      </c>
      <c r="X17" s="306">
        <v>1</v>
      </c>
      <c r="Y17" s="398"/>
      <c r="Z17" s="304"/>
      <c r="AA17" s="343"/>
      <c r="AB17" s="177"/>
      <c r="AC17" s="306">
        <v>1</v>
      </c>
      <c r="AD17" s="304">
        <v>1</v>
      </c>
      <c r="AE17" s="304"/>
      <c r="AF17" s="304"/>
      <c r="AG17" s="497">
        <f t="shared" si="0"/>
        <v>10</v>
      </c>
      <c r="AH17" s="494"/>
    </row>
    <row r="18" spans="1:34" ht="28.9" thickBot="1">
      <c r="A18" s="173" t="s">
        <v>26</v>
      </c>
      <c r="B18" s="218"/>
      <c r="C18" s="219" t="s">
        <v>18</v>
      </c>
      <c r="D18" s="219" t="s">
        <v>18</v>
      </c>
      <c r="E18" s="295"/>
      <c r="F18" s="114"/>
      <c r="G18" s="114"/>
      <c r="H18" s="219"/>
      <c r="I18" s="219" t="s">
        <v>18</v>
      </c>
      <c r="J18" s="219" t="s">
        <v>18</v>
      </c>
      <c r="K18" s="379"/>
      <c r="L18" s="222"/>
      <c r="M18" s="106"/>
      <c r="N18" s="105"/>
      <c r="O18" s="222" t="s">
        <v>18</v>
      </c>
      <c r="P18" s="253" t="s">
        <v>18</v>
      </c>
      <c r="Q18" s="222"/>
      <c r="R18" s="222"/>
      <c r="S18" s="219"/>
      <c r="T18" s="118"/>
      <c r="U18" s="114" t="s">
        <v>18</v>
      </c>
      <c r="V18" s="219" t="s">
        <v>18</v>
      </c>
      <c r="W18" s="295"/>
      <c r="X18" s="296"/>
      <c r="Y18" s="371"/>
      <c r="Z18" s="296"/>
      <c r="AA18" s="114" t="s">
        <v>18</v>
      </c>
      <c r="AB18" s="114" t="s">
        <v>18</v>
      </c>
      <c r="AC18" s="296"/>
      <c r="AD18" s="219"/>
      <c r="AE18" s="295"/>
      <c r="AF18" s="295"/>
      <c r="AG18" s="215">
        <f t="shared" si="0"/>
        <v>0</v>
      </c>
      <c r="AH18" s="490"/>
    </row>
    <row r="19" spans="1:34" ht="28.9" thickBot="1">
      <c r="A19" s="146" t="s">
        <v>27</v>
      </c>
      <c r="B19" s="223"/>
      <c r="C19" s="224">
        <v>15</v>
      </c>
      <c r="D19" s="224">
        <v>15</v>
      </c>
      <c r="E19" s="294">
        <v>0.5</v>
      </c>
      <c r="F19" s="103"/>
      <c r="G19" s="103"/>
      <c r="H19" s="224"/>
      <c r="I19" s="224">
        <v>15</v>
      </c>
      <c r="J19" s="224">
        <v>15</v>
      </c>
      <c r="K19" s="372">
        <v>5.5</v>
      </c>
      <c r="L19" s="224"/>
      <c r="M19" s="103"/>
      <c r="N19" s="103"/>
      <c r="O19" s="224">
        <v>15</v>
      </c>
      <c r="P19" s="224">
        <v>15</v>
      </c>
      <c r="Q19" s="224">
        <v>0.5</v>
      </c>
      <c r="R19" s="224"/>
      <c r="S19" s="224"/>
      <c r="T19" s="103"/>
      <c r="U19" s="103">
        <v>15</v>
      </c>
      <c r="V19" s="224">
        <v>15</v>
      </c>
      <c r="W19" s="224">
        <v>0.5</v>
      </c>
      <c r="X19" s="224" t="s">
        <v>32</v>
      </c>
      <c r="Y19" s="372">
        <v>4</v>
      </c>
      <c r="Z19" s="224"/>
      <c r="AA19" s="103">
        <v>15</v>
      </c>
      <c r="AB19" s="103">
        <v>15</v>
      </c>
      <c r="AC19" s="224">
        <v>0.5</v>
      </c>
      <c r="AD19" s="224"/>
      <c r="AE19" s="224"/>
      <c r="AF19" s="294"/>
      <c r="AG19" s="496">
        <f t="shared" si="0"/>
        <v>161.5</v>
      </c>
      <c r="AH19" s="491">
        <f>SUM(AG19-AG61)</f>
        <v>-4</v>
      </c>
    </row>
    <row r="20" spans="1:34" ht="25.9" customHeight="1" thickBot="1">
      <c r="A20" s="187" t="s">
        <v>28</v>
      </c>
      <c r="B20" s="226"/>
      <c r="C20" s="227">
        <v>1</v>
      </c>
      <c r="D20" s="227">
        <v>1</v>
      </c>
      <c r="E20" s="228"/>
      <c r="F20" s="133"/>
      <c r="G20" s="133"/>
      <c r="H20" s="227"/>
      <c r="I20" s="227">
        <v>1</v>
      </c>
      <c r="J20" s="227">
        <v>1</v>
      </c>
      <c r="K20" s="380"/>
      <c r="L20" s="227"/>
      <c r="M20" s="134"/>
      <c r="N20" s="133"/>
      <c r="O20" s="229">
        <v>1</v>
      </c>
      <c r="P20" s="227">
        <v>1</v>
      </c>
      <c r="Q20" s="229"/>
      <c r="R20" s="227"/>
      <c r="S20" s="227"/>
      <c r="T20" s="134"/>
      <c r="U20" s="133">
        <v>1</v>
      </c>
      <c r="V20" s="227">
        <v>1</v>
      </c>
      <c r="W20" s="228"/>
      <c r="X20" s="229"/>
      <c r="Y20" s="373"/>
      <c r="Z20" s="229"/>
      <c r="AA20" s="133">
        <v>1</v>
      </c>
      <c r="AB20" s="133">
        <v>1</v>
      </c>
      <c r="AC20" s="229"/>
      <c r="AD20" s="227"/>
      <c r="AE20" s="228"/>
      <c r="AF20" s="228"/>
      <c r="AG20" s="497">
        <f t="shared" si="0"/>
        <v>10</v>
      </c>
      <c r="AH20" s="494"/>
    </row>
    <row r="21" spans="1:34" ht="28.9" thickBot="1">
      <c r="A21" s="146" t="s">
        <v>29</v>
      </c>
      <c r="B21" s="448" t="s">
        <v>18</v>
      </c>
      <c r="C21" s="428" t="s">
        <v>18</v>
      </c>
      <c r="D21" s="428"/>
      <c r="E21" s="220"/>
      <c r="F21" s="425"/>
      <c r="G21" s="431"/>
      <c r="H21" s="428" t="s">
        <v>18</v>
      </c>
      <c r="I21" s="428" t="s">
        <v>18</v>
      </c>
      <c r="J21" s="428"/>
      <c r="K21" s="433"/>
      <c r="L21" s="423"/>
      <c r="M21" s="342"/>
      <c r="N21" s="431" t="s">
        <v>18</v>
      </c>
      <c r="O21" s="428" t="s">
        <v>18</v>
      </c>
      <c r="P21" s="220"/>
      <c r="Q21" s="220"/>
      <c r="R21" s="423"/>
      <c r="S21" s="220"/>
      <c r="T21" s="122" t="s">
        <v>18</v>
      </c>
      <c r="U21" s="122" t="s">
        <v>18</v>
      </c>
      <c r="V21" s="220"/>
      <c r="W21" s="220"/>
      <c r="X21" s="423"/>
      <c r="Y21" s="382"/>
      <c r="Z21" s="293" t="s">
        <v>18</v>
      </c>
      <c r="AA21" s="342" t="s">
        <v>18</v>
      </c>
      <c r="AB21" s="122"/>
      <c r="AC21" s="220"/>
      <c r="AD21" s="220"/>
      <c r="AE21" s="423"/>
      <c r="AF21" s="423" t="s">
        <v>18</v>
      </c>
      <c r="AG21" s="215">
        <f t="shared" si="0"/>
        <v>0</v>
      </c>
      <c r="AH21" s="490"/>
    </row>
    <row r="22" spans="1:34" ht="28.9" thickBot="1">
      <c r="A22" s="146" t="s">
        <v>30</v>
      </c>
      <c r="B22" s="255">
        <v>15</v>
      </c>
      <c r="C22" s="246">
        <v>15</v>
      </c>
      <c r="D22" s="246">
        <v>0.5</v>
      </c>
      <c r="E22" s="246"/>
      <c r="F22" s="107"/>
      <c r="G22" s="108"/>
      <c r="H22" s="246">
        <v>15</v>
      </c>
      <c r="I22" s="248">
        <v>15</v>
      </c>
      <c r="J22" s="246">
        <v>0.5</v>
      </c>
      <c r="K22" s="376">
        <v>4</v>
      </c>
      <c r="L22" s="248"/>
      <c r="M22" s="109"/>
      <c r="N22" s="108">
        <v>15</v>
      </c>
      <c r="O22" s="248">
        <v>15</v>
      </c>
      <c r="P22" s="246">
        <v>0.5</v>
      </c>
      <c r="Q22" s="246"/>
      <c r="R22" s="248"/>
      <c r="S22" s="246"/>
      <c r="T22" s="108">
        <v>15</v>
      </c>
      <c r="U22" s="108">
        <v>15</v>
      </c>
      <c r="V22" s="246">
        <v>0.5</v>
      </c>
      <c r="W22" s="246"/>
      <c r="X22" s="248"/>
      <c r="Y22" s="376">
        <v>4</v>
      </c>
      <c r="Z22" s="247">
        <v>15</v>
      </c>
      <c r="AA22" s="109">
        <v>15</v>
      </c>
      <c r="AB22" s="108">
        <v>0.5</v>
      </c>
      <c r="AC22" s="246"/>
      <c r="AD22" s="246"/>
      <c r="AE22" s="248"/>
      <c r="AF22" s="248">
        <v>15</v>
      </c>
      <c r="AG22" s="496">
        <f t="shared" si="0"/>
        <v>175.5</v>
      </c>
      <c r="AH22" s="491">
        <f>SUM(AG22-AG61)</f>
        <v>10</v>
      </c>
    </row>
    <row r="23" spans="1:34" ht="25.9" customHeight="1" thickBot="1">
      <c r="A23" s="368" t="s">
        <v>28</v>
      </c>
      <c r="B23" s="226">
        <v>1</v>
      </c>
      <c r="C23" s="227">
        <v>1</v>
      </c>
      <c r="D23" s="227"/>
      <c r="E23" s="227"/>
      <c r="F23" s="133"/>
      <c r="G23" s="133"/>
      <c r="H23" s="227">
        <v>1</v>
      </c>
      <c r="I23" s="227">
        <v>1</v>
      </c>
      <c r="J23" s="227"/>
      <c r="K23" s="373"/>
      <c r="L23" s="227"/>
      <c r="M23" s="136"/>
      <c r="N23" s="133">
        <v>1</v>
      </c>
      <c r="O23" s="227">
        <v>1</v>
      </c>
      <c r="P23" s="227"/>
      <c r="Q23" s="229"/>
      <c r="R23" s="227"/>
      <c r="S23" s="227"/>
      <c r="T23" s="133">
        <v>1</v>
      </c>
      <c r="U23" s="133">
        <v>1</v>
      </c>
      <c r="V23" s="227"/>
      <c r="W23" s="227"/>
      <c r="X23" s="229"/>
      <c r="Y23" s="373"/>
      <c r="Z23" s="227">
        <v>1</v>
      </c>
      <c r="AA23" s="136">
        <v>1</v>
      </c>
      <c r="AB23" s="133"/>
      <c r="AC23" s="227"/>
      <c r="AD23" s="227"/>
      <c r="AE23" s="227"/>
      <c r="AF23" s="227">
        <v>1</v>
      </c>
      <c r="AG23" s="497">
        <f t="shared" si="0"/>
        <v>11</v>
      </c>
      <c r="AH23" s="494"/>
    </row>
    <row r="24" spans="1:34" ht="29.45" hidden="1" thickBot="1">
      <c r="A24" s="146"/>
      <c r="B24" s="292"/>
      <c r="C24" s="220"/>
      <c r="D24" s="220"/>
      <c r="E24" s="423"/>
      <c r="F24" s="122"/>
      <c r="G24" s="122"/>
      <c r="H24" s="220"/>
      <c r="I24" s="220"/>
      <c r="J24" s="220"/>
      <c r="K24" s="382"/>
      <c r="L24" s="220"/>
      <c r="M24" s="342"/>
      <c r="N24" s="122"/>
      <c r="O24" s="426"/>
      <c r="P24" s="220"/>
      <c r="Q24" s="426"/>
      <c r="R24" s="220"/>
      <c r="S24" s="220"/>
      <c r="T24" s="427"/>
      <c r="U24" s="122"/>
      <c r="V24" s="426"/>
      <c r="W24" s="220"/>
      <c r="X24" s="426"/>
      <c r="Y24" s="382"/>
      <c r="Z24" s="220"/>
      <c r="AA24" s="342"/>
      <c r="AB24" s="449"/>
      <c r="AC24" s="220"/>
      <c r="AD24" s="220"/>
      <c r="AE24" s="220"/>
      <c r="AF24" s="220"/>
      <c r="AG24" s="215">
        <f t="shared" si="0"/>
        <v>0</v>
      </c>
      <c r="AH24" s="490"/>
    </row>
    <row r="25" spans="1:34" ht="28.9" hidden="1" thickBot="1">
      <c r="A25" s="146"/>
      <c r="B25" s="223"/>
      <c r="C25" s="224"/>
      <c r="D25" s="224"/>
      <c r="E25" s="246"/>
      <c r="F25" s="108"/>
      <c r="G25" s="103"/>
      <c r="H25" s="224"/>
      <c r="I25" s="224"/>
      <c r="J25" s="224"/>
      <c r="K25" s="409"/>
      <c r="L25" s="246"/>
      <c r="M25" s="109"/>
      <c r="N25" s="103"/>
      <c r="O25" s="224"/>
      <c r="P25" s="224"/>
      <c r="Q25" s="224"/>
      <c r="R25" s="257"/>
      <c r="S25" s="246"/>
      <c r="T25" s="108"/>
      <c r="U25" s="103"/>
      <c r="V25" s="224"/>
      <c r="W25" s="294"/>
      <c r="X25" s="257"/>
      <c r="Y25" s="372"/>
      <c r="Z25" s="246"/>
      <c r="AA25" s="109"/>
      <c r="AB25" s="103"/>
      <c r="AC25" s="257"/>
      <c r="AD25" s="224"/>
      <c r="AE25" s="294"/>
      <c r="AF25" s="294"/>
      <c r="AG25" s="496">
        <f t="shared" si="0"/>
        <v>0</v>
      </c>
      <c r="AH25" s="491">
        <f>SUM(AG25-AG61)</f>
        <v>-165.5</v>
      </c>
    </row>
    <row r="26" spans="1:34" ht="28.9" hidden="1" thickBot="1">
      <c r="A26" s="368"/>
      <c r="B26" s="303"/>
      <c r="C26" s="304"/>
      <c r="D26" s="304"/>
      <c r="E26" s="305"/>
      <c r="F26" s="177"/>
      <c r="G26" s="177"/>
      <c r="H26" s="304"/>
      <c r="I26" s="304"/>
      <c r="J26" s="304"/>
      <c r="K26" s="398"/>
      <c r="L26" s="304"/>
      <c r="M26" s="343"/>
      <c r="N26" s="177"/>
      <c r="O26" s="304"/>
      <c r="P26" s="304"/>
      <c r="Q26" s="304"/>
      <c r="R26" s="304"/>
      <c r="S26" s="304"/>
      <c r="T26" s="178"/>
      <c r="U26" s="177"/>
      <c r="V26" s="304"/>
      <c r="W26" s="305"/>
      <c r="X26" s="304"/>
      <c r="Y26" s="398"/>
      <c r="Z26" s="304"/>
      <c r="AA26" s="343"/>
      <c r="AB26" s="177"/>
      <c r="AC26" s="304"/>
      <c r="AD26" s="304"/>
      <c r="AE26" s="306"/>
      <c r="AF26" s="304"/>
      <c r="AG26" s="497">
        <f t="shared" si="0"/>
        <v>0</v>
      </c>
      <c r="AH26" s="494"/>
    </row>
    <row r="27" spans="1:34" ht="28.9" thickBot="1">
      <c r="A27" s="465" t="s">
        <v>31</v>
      </c>
      <c r="B27" s="428"/>
      <c r="C27" s="428"/>
      <c r="D27" s="246"/>
      <c r="E27" s="246"/>
      <c r="F27" s="105" t="s">
        <v>18</v>
      </c>
      <c r="G27" s="564" t="s">
        <v>18</v>
      </c>
      <c r="H27" s="428"/>
      <c r="I27" s="428"/>
      <c r="J27" s="246"/>
      <c r="K27" s="376"/>
      <c r="L27" s="222" t="s">
        <v>18</v>
      </c>
      <c r="M27" s="564" t="s">
        <v>18</v>
      </c>
      <c r="N27" s="431"/>
      <c r="O27" s="428"/>
      <c r="P27" s="246"/>
      <c r="Q27" s="252"/>
      <c r="R27" s="222" t="s">
        <v>18</v>
      </c>
      <c r="S27" s="565" t="s">
        <v>18</v>
      </c>
      <c r="T27" s="431"/>
      <c r="U27" s="431"/>
      <c r="V27" s="246"/>
      <c r="W27" s="224"/>
      <c r="X27" s="222" t="s">
        <v>18</v>
      </c>
      <c r="Y27" s="566" t="s">
        <v>18</v>
      </c>
      <c r="Z27" s="428"/>
      <c r="AA27" s="431"/>
      <c r="AB27" s="108"/>
      <c r="AC27" s="246"/>
      <c r="AD27" s="222" t="s">
        <v>18</v>
      </c>
      <c r="AE27" s="565" t="s">
        <v>18</v>
      </c>
      <c r="AF27" s="428"/>
      <c r="AG27" s="215">
        <f t="shared" si="0"/>
        <v>0</v>
      </c>
      <c r="AH27" s="490"/>
    </row>
    <row r="28" spans="1:34" ht="28.9" thickBot="1">
      <c r="A28" s="146" t="s">
        <v>33</v>
      </c>
      <c r="B28" s="246"/>
      <c r="C28" s="246"/>
      <c r="D28" s="246"/>
      <c r="E28" s="248"/>
      <c r="F28" s="108">
        <v>15</v>
      </c>
      <c r="G28" s="107">
        <v>15</v>
      </c>
      <c r="H28" s="246">
        <v>0.5</v>
      </c>
      <c r="I28" s="246"/>
      <c r="J28" s="246"/>
      <c r="K28" s="376">
        <v>4</v>
      </c>
      <c r="L28" s="246">
        <v>15</v>
      </c>
      <c r="M28" s="107">
        <v>15</v>
      </c>
      <c r="N28" s="108">
        <v>0.5</v>
      </c>
      <c r="O28" s="246"/>
      <c r="P28" s="246"/>
      <c r="Q28" s="246"/>
      <c r="R28" s="246">
        <v>15</v>
      </c>
      <c r="S28" s="248">
        <v>15</v>
      </c>
      <c r="T28" s="108">
        <v>0.5</v>
      </c>
      <c r="U28" s="108"/>
      <c r="V28" s="246"/>
      <c r="W28" s="248"/>
      <c r="X28" s="246">
        <v>15</v>
      </c>
      <c r="Y28" s="375">
        <v>15</v>
      </c>
      <c r="Z28" s="246">
        <v>0.5</v>
      </c>
      <c r="AA28" s="108"/>
      <c r="AB28" s="108"/>
      <c r="AC28" s="224"/>
      <c r="AD28" s="246">
        <v>15</v>
      </c>
      <c r="AE28" s="248">
        <v>15</v>
      </c>
      <c r="AF28" s="246">
        <v>0.5</v>
      </c>
      <c r="AG28" s="496">
        <f t="shared" si="0"/>
        <v>156.5</v>
      </c>
      <c r="AH28" s="491">
        <f>SUM(AG28-AG61)</f>
        <v>-9</v>
      </c>
    </row>
    <row r="29" spans="1:34" ht="28.9" thickBot="1">
      <c r="A29" s="188" t="s">
        <v>34</v>
      </c>
      <c r="B29" s="227"/>
      <c r="C29" s="227"/>
      <c r="D29" s="227"/>
      <c r="E29" s="228"/>
      <c r="F29" s="133">
        <v>1</v>
      </c>
      <c r="G29" s="135">
        <v>1</v>
      </c>
      <c r="H29" s="227"/>
      <c r="I29" s="227"/>
      <c r="J29" s="227"/>
      <c r="K29" s="373"/>
      <c r="L29" s="227">
        <v>1</v>
      </c>
      <c r="M29" s="135">
        <v>1</v>
      </c>
      <c r="N29" s="133"/>
      <c r="O29" s="227"/>
      <c r="P29" s="227"/>
      <c r="Q29" s="229"/>
      <c r="R29" s="227">
        <v>1</v>
      </c>
      <c r="S29" s="228">
        <v>1</v>
      </c>
      <c r="T29" s="133"/>
      <c r="U29" s="133"/>
      <c r="V29" s="230"/>
      <c r="W29" s="227"/>
      <c r="X29" s="227">
        <v>1</v>
      </c>
      <c r="Y29" s="405">
        <v>1</v>
      </c>
      <c r="Z29" s="227"/>
      <c r="AA29" s="133"/>
      <c r="AB29" s="133"/>
      <c r="AC29" s="227"/>
      <c r="AD29" s="227">
        <v>1</v>
      </c>
      <c r="AE29" s="228">
        <v>1</v>
      </c>
      <c r="AF29" s="227"/>
      <c r="AG29" s="497">
        <f t="shared" si="0"/>
        <v>10</v>
      </c>
      <c r="AH29" s="494"/>
    </row>
    <row r="30" spans="1:34" ht="28.9" thickBot="1">
      <c r="A30" s="173" t="s">
        <v>74</v>
      </c>
      <c r="B30" s="218"/>
      <c r="C30" s="219"/>
      <c r="D30" s="219" t="s">
        <v>18</v>
      </c>
      <c r="E30" s="219" t="s">
        <v>18</v>
      </c>
      <c r="F30" s="114"/>
      <c r="G30" s="114"/>
      <c r="H30" s="219"/>
      <c r="I30" s="219"/>
      <c r="J30" s="219" t="s">
        <v>18</v>
      </c>
      <c r="K30" s="379" t="s">
        <v>18</v>
      </c>
      <c r="L30" s="222"/>
      <c r="M30" s="106"/>
      <c r="N30" s="105"/>
      <c r="O30" s="222"/>
      <c r="P30" s="253" t="s">
        <v>18</v>
      </c>
      <c r="Q30" s="222" t="s">
        <v>18</v>
      </c>
      <c r="R30" s="222"/>
      <c r="S30" s="219"/>
      <c r="T30" s="118"/>
      <c r="U30" s="114"/>
      <c r="V30" s="219" t="s">
        <v>18</v>
      </c>
      <c r="W30" s="222" t="s">
        <v>18</v>
      </c>
      <c r="X30" s="296"/>
      <c r="Y30" s="371"/>
      <c r="Z30" s="296"/>
      <c r="AA30" s="114"/>
      <c r="AB30" s="114" t="s">
        <v>18</v>
      </c>
      <c r="AC30" s="222" t="s">
        <v>18</v>
      </c>
      <c r="AD30" s="219"/>
      <c r="AE30" s="295"/>
      <c r="AF30" s="295"/>
      <c r="AG30" s="215">
        <f t="shared" si="0"/>
        <v>0</v>
      </c>
      <c r="AH30" s="490"/>
    </row>
    <row r="31" spans="1:34" ht="28.9" thickBot="1">
      <c r="A31" s="146" t="s">
        <v>36</v>
      </c>
      <c r="B31" s="223"/>
      <c r="C31" s="224"/>
      <c r="D31" s="224">
        <v>15</v>
      </c>
      <c r="E31" s="224">
        <v>15</v>
      </c>
      <c r="F31" s="103">
        <v>0.5</v>
      </c>
      <c r="G31" s="103"/>
      <c r="H31" s="224"/>
      <c r="I31" s="224"/>
      <c r="J31" s="224">
        <v>15</v>
      </c>
      <c r="K31" s="372">
        <v>15</v>
      </c>
      <c r="L31" s="224">
        <v>0.5</v>
      </c>
      <c r="M31" s="103"/>
      <c r="N31" s="103"/>
      <c r="O31" s="224"/>
      <c r="P31" s="224">
        <v>15</v>
      </c>
      <c r="Q31" s="224">
        <v>15</v>
      </c>
      <c r="R31" s="224">
        <v>0.5</v>
      </c>
      <c r="S31" s="224"/>
      <c r="T31" s="103"/>
      <c r="U31" s="103"/>
      <c r="V31" s="224">
        <v>15</v>
      </c>
      <c r="W31" s="224">
        <v>15</v>
      </c>
      <c r="X31" s="224">
        <v>0.5</v>
      </c>
      <c r="Y31" s="372">
        <v>4</v>
      </c>
      <c r="Z31" s="224"/>
      <c r="AA31" s="103"/>
      <c r="AB31" s="103">
        <v>15</v>
      </c>
      <c r="AC31" s="224">
        <v>15</v>
      </c>
      <c r="AD31" s="224">
        <v>0.5</v>
      </c>
      <c r="AE31" s="224"/>
      <c r="AF31" s="294"/>
      <c r="AG31" s="496">
        <f t="shared" si="0"/>
        <v>156.5</v>
      </c>
      <c r="AH31" s="491">
        <f>SUM(AG31-AG61)</f>
        <v>-9</v>
      </c>
    </row>
    <row r="32" spans="1:34" ht="25.9" customHeight="1" thickBot="1">
      <c r="A32" s="187" t="s">
        <v>34</v>
      </c>
      <c r="B32" s="226"/>
      <c r="C32" s="227"/>
      <c r="D32" s="227">
        <v>1</v>
      </c>
      <c r="E32" s="227">
        <v>1</v>
      </c>
      <c r="F32" s="133"/>
      <c r="G32" s="133"/>
      <c r="H32" s="227"/>
      <c r="I32" s="227"/>
      <c r="J32" s="227">
        <v>1</v>
      </c>
      <c r="K32" s="380">
        <v>1</v>
      </c>
      <c r="L32" s="227"/>
      <c r="M32" s="134"/>
      <c r="N32" s="133"/>
      <c r="O32" s="229"/>
      <c r="P32" s="227">
        <v>1</v>
      </c>
      <c r="Q32" s="229">
        <v>1</v>
      </c>
      <c r="R32" s="227"/>
      <c r="S32" s="227"/>
      <c r="T32" s="134"/>
      <c r="U32" s="133"/>
      <c r="V32" s="227">
        <v>1</v>
      </c>
      <c r="W32" s="229">
        <v>1</v>
      </c>
      <c r="X32" s="227"/>
      <c r="Y32" s="373"/>
      <c r="Z32" s="229"/>
      <c r="AA32" s="133"/>
      <c r="AB32" s="133">
        <v>1</v>
      </c>
      <c r="AC32" s="229">
        <v>1</v>
      </c>
      <c r="AD32" s="227"/>
      <c r="AE32" s="228"/>
      <c r="AF32" s="228"/>
      <c r="AG32" s="320">
        <f t="shared" si="0"/>
        <v>10</v>
      </c>
      <c r="AH32" s="492"/>
    </row>
    <row r="33" spans="1:35" ht="28.9" thickBot="1">
      <c r="A33" s="173" t="s">
        <v>37</v>
      </c>
      <c r="B33" s="249"/>
      <c r="C33" s="251"/>
      <c r="D33" s="251"/>
      <c r="E33" s="222"/>
      <c r="F33" s="111"/>
      <c r="G33" s="102"/>
      <c r="H33" s="251"/>
      <c r="I33" s="251"/>
      <c r="J33" s="251"/>
      <c r="K33" s="251"/>
      <c r="L33" s="253"/>
      <c r="M33" s="106"/>
      <c r="N33" s="102"/>
      <c r="O33" s="251"/>
      <c r="P33" s="222"/>
      <c r="Q33" s="222"/>
      <c r="R33" s="253"/>
      <c r="S33" s="222"/>
      <c r="T33" s="105"/>
      <c r="U33" s="105"/>
      <c r="V33" s="222"/>
      <c r="W33" s="222"/>
      <c r="X33" s="253"/>
      <c r="Y33" s="222"/>
      <c r="Z33" s="256"/>
      <c r="AA33" s="106"/>
      <c r="AB33" s="105"/>
      <c r="AC33" s="222"/>
      <c r="AD33" s="222"/>
      <c r="AE33" s="253"/>
      <c r="AF33" s="253"/>
      <c r="AG33" s="215">
        <v>0</v>
      </c>
      <c r="AH33" s="488"/>
    </row>
    <row r="34" spans="1:35" ht="28.9" thickBot="1">
      <c r="A34" s="146" t="s">
        <v>38</v>
      </c>
      <c r="B34" s="255"/>
      <c r="C34" s="246"/>
      <c r="D34" s="246"/>
      <c r="E34" s="246"/>
      <c r="F34" s="107"/>
      <c r="G34" s="108"/>
      <c r="H34" s="246"/>
      <c r="I34" s="248"/>
      <c r="J34" s="246"/>
      <c r="K34" s="246"/>
      <c r="L34" s="248"/>
      <c r="M34" s="109"/>
      <c r="N34" s="108"/>
      <c r="O34" s="248"/>
      <c r="P34" s="246"/>
      <c r="Q34" s="246"/>
      <c r="R34" s="248"/>
      <c r="S34" s="246"/>
      <c r="T34" s="108"/>
      <c r="U34" s="108"/>
      <c r="V34" s="246"/>
      <c r="W34" s="246"/>
      <c r="X34" s="248"/>
      <c r="Y34" s="246"/>
      <c r="Z34" s="247"/>
      <c r="AA34" s="109"/>
      <c r="AB34" s="108"/>
      <c r="AC34" s="246"/>
      <c r="AD34" s="246"/>
      <c r="AE34" s="248"/>
      <c r="AF34" s="248"/>
      <c r="AG34" s="496">
        <f>SUM(B34:AF34)</f>
        <v>0</v>
      </c>
      <c r="AH34" s="495"/>
    </row>
    <row r="35" spans="1:35" ht="28.9" thickBot="1">
      <c r="A35" s="187" t="s">
        <v>39</v>
      </c>
      <c r="B35" s="226"/>
      <c r="C35" s="227"/>
      <c r="D35" s="227"/>
      <c r="E35" s="227"/>
      <c r="F35" s="133"/>
      <c r="G35" s="133"/>
      <c r="H35" s="227"/>
      <c r="I35" s="227"/>
      <c r="J35" s="227"/>
      <c r="K35" s="227"/>
      <c r="L35" s="227"/>
      <c r="M35" s="136"/>
      <c r="N35" s="133"/>
      <c r="O35" s="227"/>
      <c r="P35" s="227"/>
      <c r="Q35" s="229"/>
      <c r="R35" s="227"/>
      <c r="S35" s="227"/>
      <c r="T35" s="133"/>
      <c r="U35" s="133"/>
      <c r="V35" s="227"/>
      <c r="W35" s="227"/>
      <c r="X35" s="229"/>
      <c r="Y35" s="227"/>
      <c r="Z35" s="227"/>
      <c r="AA35" s="136"/>
      <c r="AB35" s="133"/>
      <c r="AC35" s="227"/>
      <c r="AD35" s="227"/>
      <c r="AE35" s="227"/>
      <c r="AF35" s="227"/>
      <c r="AG35" s="497">
        <f>SUM(B35:AF35)</f>
        <v>0</v>
      </c>
      <c r="AH35" s="489"/>
    </row>
    <row r="36" spans="1:35" ht="28.9" thickBot="1">
      <c r="A36" s="465"/>
      <c r="B36" s="249"/>
      <c r="C36" s="251"/>
      <c r="D36" s="251"/>
      <c r="E36" s="222"/>
      <c r="F36" s="111"/>
      <c r="G36" s="102"/>
      <c r="H36" s="251"/>
      <c r="I36" s="251"/>
      <c r="J36" s="251"/>
      <c r="K36" s="251"/>
      <c r="L36" s="253"/>
      <c r="M36" s="106"/>
      <c r="N36" s="102"/>
      <c r="O36" s="251"/>
      <c r="P36" s="222"/>
      <c r="Q36" s="222"/>
      <c r="R36" s="253"/>
      <c r="S36" s="222"/>
      <c r="T36" s="105"/>
      <c r="U36" s="105"/>
      <c r="V36" s="222"/>
      <c r="W36" s="222"/>
      <c r="X36" s="253"/>
      <c r="Y36" s="222"/>
      <c r="Z36" s="256"/>
      <c r="AA36" s="106"/>
      <c r="AB36" s="105"/>
      <c r="AC36" s="222"/>
      <c r="AD36" s="222"/>
      <c r="AE36" s="253"/>
      <c r="AF36" s="253"/>
      <c r="AG36" s="215">
        <v>0</v>
      </c>
      <c r="AH36" s="488"/>
    </row>
    <row r="37" spans="1:35" ht="28.9" thickBot="1">
      <c r="A37" s="146"/>
      <c r="B37" s="255"/>
      <c r="C37" s="246"/>
      <c r="D37" s="246"/>
      <c r="E37" s="246"/>
      <c r="F37" s="107"/>
      <c r="G37" s="108"/>
      <c r="H37" s="246"/>
      <c r="I37" s="248"/>
      <c r="J37" s="246"/>
      <c r="K37" s="246"/>
      <c r="L37" s="248"/>
      <c r="M37" s="109"/>
      <c r="N37" s="108"/>
      <c r="O37" s="248"/>
      <c r="P37" s="246"/>
      <c r="Q37" s="246"/>
      <c r="R37" s="248"/>
      <c r="S37" s="246"/>
      <c r="T37" s="108"/>
      <c r="U37" s="108"/>
      <c r="V37" s="246"/>
      <c r="W37" s="246"/>
      <c r="X37" s="248"/>
      <c r="Y37" s="246"/>
      <c r="Z37" s="247"/>
      <c r="AA37" s="109"/>
      <c r="AB37" s="108"/>
      <c r="AC37" s="246"/>
      <c r="AD37" s="246"/>
      <c r="AE37" s="248"/>
      <c r="AF37" s="248"/>
      <c r="AG37" s="496">
        <f>SUM(B37:AF37)</f>
        <v>0</v>
      </c>
      <c r="AH37" s="495"/>
    </row>
    <row r="38" spans="1:35" ht="28.9" thickBot="1">
      <c r="A38" s="188"/>
      <c r="B38" s="226"/>
      <c r="C38" s="227"/>
      <c r="D38" s="227"/>
      <c r="E38" s="227"/>
      <c r="F38" s="133"/>
      <c r="G38" s="133"/>
      <c r="H38" s="227"/>
      <c r="I38" s="227"/>
      <c r="J38" s="227"/>
      <c r="K38" s="227"/>
      <c r="L38" s="227"/>
      <c r="M38" s="136"/>
      <c r="N38" s="133"/>
      <c r="O38" s="227"/>
      <c r="P38" s="227"/>
      <c r="Q38" s="229"/>
      <c r="R38" s="227"/>
      <c r="S38" s="227"/>
      <c r="T38" s="133"/>
      <c r="U38" s="133"/>
      <c r="V38" s="227"/>
      <c r="W38" s="227"/>
      <c r="X38" s="229"/>
      <c r="Y38" s="227"/>
      <c r="Z38" s="227"/>
      <c r="AA38" s="136"/>
      <c r="AB38" s="133"/>
      <c r="AC38" s="227"/>
      <c r="AD38" s="227"/>
      <c r="AE38" s="227"/>
      <c r="AF38" s="227"/>
      <c r="AG38" s="497">
        <f>SUM(B38:AF38)</f>
        <v>0</v>
      </c>
      <c r="AH38" s="489"/>
    </row>
    <row r="39" spans="1:35" ht="29.45" thickBot="1">
      <c r="A39" s="173"/>
      <c r="B39" s="249"/>
      <c r="C39" s="251"/>
      <c r="D39" s="251"/>
      <c r="E39" s="222"/>
      <c r="F39" s="111"/>
      <c r="G39" s="102"/>
      <c r="H39" s="251"/>
      <c r="I39" s="251"/>
      <c r="J39" s="251"/>
      <c r="K39" s="251"/>
      <c r="L39" s="253"/>
      <c r="M39" s="106"/>
      <c r="N39" s="102"/>
      <c r="O39" s="251"/>
      <c r="P39" s="222"/>
      <c r="Q39" s="222"/>
      <c r="R39" s="253"/>
      <c r="S39" s="222"/>
      <c r="T39" s="105"/>
      <c r="U39" s="105"/>
      <c r="V39" s="222"/>
      <c r="W39" s="222"/>
      <c r="X39" s="253"/>
      <c r="Y39" s="222"/>
      <c r="Z39" s="256"/>
      <c r="AA39" s="106"/>
      <c r="AB39" s="105"/>
      <c r="AC39" s="222"/>
      <c r="AD39" s="222"/>
      <c r="AE39" s="253"/>
      <c r="AF39" s="253"/>
      <c r="AG39" s="215">
        <v>0</v>
      </c>
      <c r="AH39" s="6"/>
    </row>
    <row r="40" spans="1:35" ht="29.45" thickBot="1">
      <c r="A40" s="146"/>
      <c r="B40" s="255"/>
      <c r="C40" s="246"/>
      <c r="D40" s="246"/>
      <c r="E40" s="246"/>
      <c r="F40" s="107"/>
      <c r="G40" s="108"/>
      <c r="H40" s="246"/>
      <c r="I40" s="248"/>
      <c r="J40" s="246"/>
      <c r="K40" s="246"/>
      <c r="L40" s="248"/>
      <c r="M40" s="109"/>
      <c r="N40" s="108"/>
      <c r="O40" s="248"/>
      <c r="P40" s="246"/>
      <c r="Q40" s="246"/>
      <c r="R40" s="248"/>
      <c r="S40" s="246"/>
      <c r="T40" s="108"/>
      <c r="U40" s="108"/>
      <c r="V40" s="246"/>
      <c r="W40" s="246"/>
      <c r="X40" s="248"/>
      <c r="Y40" s="246"/>
      <c r="Z40" s="247"/>
      <c r="AA40" s="109"/>
      <c r="AB40" s="108"/>
      <c r="AC40" s="246"/>
      <c r="AD40" s="246"/>
      <c r="AE40" s="248"/>
      <c r="AF40" s="248"/>
      <c r="AG40" s="496">
        <f>SUM(B40:AF40)</f>
        <v>0</v>
      </c>
      <c r="AH40" s="6"/>
      <c r="AI40" s="152"/>
    </row>
    <row r="41" spans="1:35" ht="29.45" thickBot="1">
      <c r="A41" s="190"/>
      <c r="B41" s="226"/>
      <c r="C41" s="227"/>
      <c r="D41" s="227"/>
      <c r="E41" s="227"/>
      <c r="F41" s="133"/>
      <c r="G41" s="133"/>
      <c r="H41" s="227"/>
      <c r="I41" s="227"/>
      <c r="J41" s="227"/>
      <c r="K41" s="227"/>
      <c r="L41" s="227"/>
      <c r="M41" s="136"/>
      <c r="N41" s="133"/>
      <c r="O41" s="227"/>
      <c r="P41" s="227"/>
      <c r="Q41" s="229"/>
      <c r="R41" s="227"/>
      <c r="S41" s="227"/>
      <c r="T41" s="133"/>
      <c r="U41" s="133"/>
      <c r="V41" s="227"/>
      <c r="W41" s="227"/>
      <c r="X41" s="229"/>
      <c r="Y41" s="227"/>
      <c r="Z41" s="227"/>
      <c r="AA41" s="136"/>
      <c r="AB41" s="133"/>
      <c r="AC41" s="227"/>
      <c r="AD41" s="227"/>
      <c r="AE41" s="227"/>
      <c r="AF41" s="227"/>
      <c r="AG41" s="497">
        <f>SUM(B41:AF41)</f>
        <v>0</v>
      </c>
      <c r="AH41" s="6"/>
      <c r="AI41" s="152"/>
    </row>
    <row r="42" spans="1:35" ht="29.45" thickBot="1">
      <c r="A42" s="173"/>
      <c r="B42" s="249"/>
      <c r="C42" s="251"/>
      <c r="D42" s="251"/>
      <c r="E42" s="222"/>
      <c r="F42" s="111"/>
      <c r="G42" s="102"/>
      <c r="H42" s="251"/>
      <c r="I42" s="251"/>
      <c r="J42" s="251"/>
      <c r="K42" s="251"/>
      <c r="L42" s="253"/>
      <c r="M42" s="106"/>
      <c r="N42" s="102"/>
      <c r="O42" s="251"/>
      <c r="P42" s="222"/>
      <c r="Q42" s="222"/>
      <c r="R42" s="253"/>
      <c r="S42" s="222"/>
      <c r="T42" s="105"/>
      <c r="U42" s="105"/>
      <c r="V42" s="222"/>
      <c r="W42" s="222"/>
      <c r="X42" s="253"/>
      <c r="Y42" s="222"/>
      <c r="Z42" s="256"/>
      <c r="AA42" s="106"/>
      <c r="AB42" s="105"/>
      <c r="AC42" s="222"/>
      <c r="AD42" s="222"/>
      <c r="AE42" s="253"/>
      <c r="AF42" s="253"/>
      <c r="AG42" s="215">
        <v>0</v>
      </c>
      <c r="AH42" s="6"/>
      <c r="AI42" s="152"/>
    </row>
    <row r="43" spans="1:35" ht="29.45" thickBot="1">
      <c r="A43" s="146"/>
      <c r="B43" s="255"/>
      <c r="C43" s="246"/>
      <c r="D43" s="246"/>
      <c r="E43" s="246"/>
      <c r="F43" s="107"/>
      <c r="G43" s="108"/>
      <c r="H43" s="246"/>
      <c r="I43" s="248"/>
      <c r="J43" s="246"/>
      <c r="K43" s="246"/>
      <c r="L43" s="248"/>
      <c r="M43" s="109"/>
      <c r="N43" s="108"/>
      <c r="O43" s="248"/>
      <c r="P43" s="246"/>
      <c r="Q43" s="246"/>
      <c r="R43" s="248"/>
      <c r="S43" s="246"/>
      <c r="T43" s="108"/>
      <c r="U43" s="108"/>
      <c r="V43" s="246"/>
      <c r="W43" s="246"/>
      <c r="X43" s="248"/>
      <c r="Y43" s="246"/>
      <c r="Z43" s="247"/>
      <c r="AA43" s="109"/>
      <c r="AB43" s="108"/>
      <c r="AC43" s="246"/>
      <c r="AD43" s="246"/>
      <c r="AE43" s="248"/>
      <c r="AF43" s="248"/>
      <c r="AG43" s="496">
        <f>SUM(B43:AF43)</f>
        <v>0</v>
      </c>
      <c r="AH43" s="6"/>
    </row>
    <row r="44" spans="1:35" ht="28.9" customHeight="1" thickBot="1">
      <c r="A44" s="190"/>
      <c r="B44" s="226"/>
      <c r="C44" s="227"/>
      <c r="D44" s="227"/>
      <c r="E44" s="227"/>
      <c r="F44" s="133"/>
      <c r="G44" s="133"/>
      <c r="H44" s="227"/>
      <c r="I44" s="227"/>
      <c r="J44" s="227"/>
      <c r="K44" s="227"/>
      <c r="L44" s="227"/>
      <c r="M44" s="136"/>
      <c r="N44" s="133"/>
      <c r="O44" s="227"/>
      <c r="P44" s="227"/>
      <c r="Q44" s="229"/>
      <c r="R44" s="227"/>
      <c r="S44" s="227"/>
      <c r="T44" s="133"/>
      <c r="U44" s="133"/>
      <c r="V44" s="227"/>
      <c r="W44" s="227"/>
      <c r="X44" s="229"/>
      <c r="Y44" s="227"/>
      <c r="Z44" s="227"/>
      <c r="AA44" s="136"/>
      <c r="AB44" s="133"/>
      <c r="AC44" s="227"/>
      <c r="AD44" s="227"/>
      <c r="AE44" s="227"/>
      <c r="AF44" s="227"/>
      <c r="AG44" s="497">
        <f>SUM(B44:AF44)</f>
        <v>0</v>
      </c>
      <c r="AH44" s="6"/>
    </row>
    <row r="45" spans="1:35" ht="29.45" thickBot="1">
      <c r="A45" s="173"/>
      <c r="B45" s="249"/>
      <c r="C45" s="251"/>
      <c r="D45" s="251"/>
      <c r="E45" s="222"/>
      <c r="F45" s="111"/>
      <c r="G45" s="102"/>
      <c r="H45" s="251"/>
      <c r="I45" s="251"/>
      <c r="J45" s="251"/>
      <c r="K45" s="251"/>
      <c r="L45" s="253"/>
      <c r="M45" s="106"/>
      <c r="N45" s="102"/>
      <c r="O45" s="251"/>
      <c r="P45" s="222"/>
      <c r="Q45" s="222"/>
      <c r="R45" s="253"/>
      <c r="S45" s="222"/>
      <c r="T45" s="105"/>
      <c r="U45" s="105"/>
      <c r="V45" s="222"/>
      <c r="W45" s="222"/>
      <c r="X45" s="253"/>
      <c r="Y45" s="222"/>
      <c r="Z45" s="256"/>
      <c r="AA45" s="106"/>
      <c r="AB45" s="105"/>
      <c r="AC45" s="222"/>
      <c r="AD45" s="222"/>
      <c r="AE45" s="253"/>
      <c r="AF45" s="253"/>
      <c r="AG45" s="215">
        <v>0</v>
      </c>
      <c r="AH45" s="6"/>
    </row>
    <row r="46" spans="1:35" ht="29.45" thickBot="1">
      <c r="A46" s="146"/>
      <c r="B46" s="255"/>
      <c r="C46" s="246"/>
      <c r="D46" s="246"/>
      <c r="E46" s="246"/>
      <c r="F46" s="107"/>
      <c r="G46" s="108"/>
      <c r="H46" s="246"/>
      <c r="I46" s="248"/>
      <c r="J46" s="246"/>
      <c r="K46" s="246"/>
      <c r="L46" s="248"/>
      <c r="M46" s="109"/>
      <c r="N46" s="108"/>
      <c r="O46" s="248"/>
      <c r="P46" s="246"/>
      <c r="Q46" s="246"/>
      <c r="R46" s="248"/>
      <c r="S46" s="246"/>
      <c r="T46" s="108"/>
      <c r="U46" s="108"/>
      <c r="V46" s="246"/>
      <c r="W46" s="246"/>
      <c r="X46" s="248"/>
      <c r="Y46" s="246"/>
      <c r="Z46" s="247"/>
      <c r="AA46" s="109"/>
      <c r="AB46" s="108"/>
      <c r="AC46" s="246"/>
      <c r="AD46" s="246"/>
      <c r="AE46" s="248"/>
      <c r="AF46" s="248"/>
      <c r="AG46" s="496">
        <f>SUM(B46:AF46)</f>
        <v>0</v>
      </c>
      <c r="AH46" s="6"/>
    </row>
    <row r="47" spans="1:35" ht="29.45" thickBot="1">
      <c r="A47" s="190"/>
      <c r="B47" s="226"/>
      <c r="C47" s="227"/>
      <c r="D47" s="227"/>
      <c r="E47" s="227"/>
      <c r="F47" s="133"/>
      <c r="G47" s="133"/>
      <c r="H47" s="227"/>
      <c r="I47" s="227"/>
      <c r="J47" s="227"/>
      <c r="K47" s="227"/>
      <c r="L47" s="227"/>
      <c r="M47" s="136"/>
      <c r="N47" s="133"/>
      <c r="O47" s="227"/>
      <c r="P47" s="227"/>
      <c r="Q47" s="229"/>
      <c r="R47" s="227"/>
      <c r="S47" s="227"/>
      <c r="T47" s="133"/>
      <c r="U47" s="133"/>
      <c r="V47" s="227"/>
      <c r="W47" s="227"/>
      <c r="X47" s="229"/>
      <c r="Y47" s="227"/>
      <c r="Z47" s="227"/>
      <c r="AA47" s="136"/>
      <c r="AB47" s="133"/>
      <c r="AC47" s="227"/>
      <c r="AD47" s="227"/>
      <c r="AE47" s="227"/>
      <c r="AF47" s="227"/>
      <c r="AG47" s="497">
        <f>SUM(B47:AF47)</f>
        <v>0</v>
      </c>
      <c r="AH47" s="6"/>
    </row>
    <row r="48" spans="1:35" ht="29.45" hidden="1" thickBot="1">
      <c r="A48" s="173"/>
      <c r="B48" s="249"/>
      <c r="C48" s="251"/>
      <c r="D48" s="251"/>
      <c r="E48" s="222"/>
      <c r="F48" s="111"/>
      <c r="G48" s="102"/>
      <c r="H48" s="251"/>
      <c r="I48" s="251"/>
      <c r="J48" s="251"/>
      <c r="K48" s="251"/>
      <c r="L48" s="253"/>
      <c r="M48" s="106"/>
      <c r="N48" s="102"/>
      <c r="O48" s="251"/>
      <c r="P48" s="222"/>
      <c r="Q48" s="222"/>
      <c r="R48" s="253"/>
      <c r="S48" s="222"/>
      <c r="T48" s="105"/>
      <c r="U48" s="105"/>
      <c r="V48" s="222"/>
      <c r="W48" s="222"/>
      <c r="X48" s="253"/>
      <c r="Y48" s="222"/>
      <c r="Z48" s="256"/>
      <c r="AA48" s="106"/>
      <c r="AB48" s="105"/>
      <c r="AC48" s="222"/>
      <c r="AD48" s="222"/>
      <c r="AE48" s="253"/>
      <c r="AF48" s="253"/>
      <c r="AG48" s="215">
        <v>0</v>
      </c>
      <c r="AH48" s="6"/>
    </row>
    <row r="49" spans="1:34" ht="29.45" hidden="1" thickBot="1">
      <c r="A49" s="146"/>
      <c r="B49" s="255"/>
      <c r="C49" s="246"/>
      <c r="D49" s="246"/>
      <c r="E49" s="246"/>
      <c r="F49" s="107"/>
      <c r="G49" s="108"/>
      <c r="H49" s="246"/>
      <c r="I49" s="248"/>
      <c r="J49" s="246"/>
      <c r="K49" s="246"/>
      <c r="L49" s="248"/>
      <c r="M49" s="109"/>
      <c r="N49" s="108"/>
      <c r="O49" s="248"/>
      <c r="P49" s="246"/>
      <c r="Q49" s="246"/>
      <c r="R49" s="248"/>
      <c r="S49" s="246"/>
      <c r="T49" s="108"/>
      <c r="U49" s="108"/>
      <c r="V49" s="246"/>
      <c r="W49" s="246"/>
      <c r="X49" s="248"/>
      <c r="Y49" s="246"/>
      <c r="Z49" s="247"/>
      <c r="AA49" s="109"/>
      <c r="AB49" s="108"/>
      <c r="AC49" s="246"/>
      <c r="AD49" s="246"/>
      <c r="AE49" s="248"/>
      <c r="AF49" s="248"/>
      <c r="AG49" s="496">
        <f>SUM(B49:AF49)</f>
        <v>0</v>
      </c>
      <c r="AH49" s="6"/>
    </row>
    <row r="50" spans="1:34" ht="28.9" hidden="1" thickBot="1">
      <c r="A50" s="190"/>
      <c r="B50" s="226"/>
      <c r="C50" s="227"/>
      <c r="D50" s="227"/>
      <c r="E50" s="227"/>
      <c r="F50" s="133"/>
      <c r="G50" s="133"/>
      <c r="H50" s="227"/>
      <c r="I50" s="227"/>
      <c r="J50" s="227"/>
      <c r="K50" s="227"/>
      <c r="L50" s="227"/>
      <c r="M50" s="136"/>
      <c r="N50" s="133"/>
      <c r="O50" s="227"/>
      <c r="P50" s="227"/>
      <c r="Q50" s="229"/>
      <c r="R50" s="227"/>
      <c r="S50" s="227"/>
      <c r="T50" s="133"/>
      <c r="U50" s="133"/>
      <c r="V50" s="227"/>
      <c r="W50" s="227"/>
      <c r="X50" s="229"/>
      <c r="Y50" s="227"/>
      <c r="Z50" s="227"/>
      <c r="AA50" s="136"/>
      <c r="AB50" s="133"/>
      <c r="AC50" s="227"/>
      <c r="AD50" s="227"/>
      <c r="AE50" s="227"/>
      <c r="AF50" s="227"/>
      <c r="AG50" s="497">
        <f>SUM(B50:AF50)</f>
        <v>0</v>
      </c>
    </row>
    <row r="51" spans="1:34" ht="28.9" hidden="1" thickBot="1">
      <c r="A51" s="173"/>
      <c r="B51" s="249"/>
      <c r="C51" s="251"/>
      <c r="D51" s="251"/>
      <c r="E51" s="222"/>
      <c r="F51" s="111"/>
      <c r="G51" s="102"/>
      <c r="H51" s="251"/>
      <c r="I51" s="251"/>
      <c r="J51" s="251"/>
      <c r="K51" s="251"/>
      <c r="L51" s="253"/>
      <c r="M51" s="106"/>
      <c r="N51" s="102"/>
      <c r="O51" s="251"/>
      <c r="P51" s="222"/>
      <c r="Q51" s="222"/>
      <c r="R51" s="253"/>
      <c r="S51" s="222"/>
      <c r="T51" s="105"/>
      <c r="U51" s="105"/>
      <c r="V51" s="222"/>
      <c r="W51" s="222"/>
      <c r="X51" s="253"/>
      <c r="Y51" s="222"/>
      <c r="Z51" s="256"/>
      <c r="AA51" s="106"/>
      <c r="AB51" s="105"/>
      <c r="AC51" s="222"/>
      <c r="AD51" s="222"/>
      <c r="AE51" s="253"/>
      <c r="AF51" s="253"/>
      <c r="AG51" s="215">
        <v>0</v>
      </c>
    </row>
    <row r="52" spans="1:34" ht="28.9" hidden="1" thickBot="1">
      <c r="A52" s="146"/>
      <c r="B52" s="255"/>
      <c r="C52" s="246"/>
      <c r="D52" s="246"/>
      <c r="E52" s="246"/>
      <c r="F52" s="107"/>
      <c r="G52" s="108"/>
      <c r="H52" s="246"/>
      <c r="I52" s="248"/>
      <c r="J52" s="246"/>
      <c r="K52" s="246"/>
      <c r="L52" s="248"/>
      <c r="M52" s="109"/>
      <c r="N52" s="108"/>
      <c r="O52" s="248"/>
      <c r="P52" s="246"/>
      <c r="Q52" s="246"/>
      <c r="R52" s="248"/>
      <c r="S52" s="246"/>
      <c r="T52" s="108"/>
      <c r="U52" s="108"/>
      <c r="V52" s="246"/>
      <c r="W52" s="246"/>
      <c r="X52" s="248"/>
      <c r="Y52" s="246"/>
      <c r="Z52" s="247"/>
      <c r="AA52" s="109"/>
      <c r="AB52" s="108"/>
      <c r="AC52" s="246"/>
      <c r="AD52" s="246"/>
      <c r="AE52" s="248"/>
      <c r="AF52" s="248"/>
      <c r="AG52" s="496">
        <f>SUM(B52:AF52)</f>
        <v>0</v>
      </c>
    </row>
    <row r="53" spans="1:34" ht="28.9" hidden="1" thickBot="1">
      <c r="A53" s="190"/>
      <c r="B53" s="226"/>
      <c r="C53" s="227"/>
      <c r="D53" s="227"/>
      <c r="E53" s="227"/>
      <c r="F53" s="133"/>
      <c r="G53" s="133"/>
      <c r="H53" s="227"/>
      <c r="I53" s="227"/>
      <c r="J53" s="227"/>
      <c r="K53" s="227"/>
      <c r="L53" s="227"/>
      <c r="M53" s="136"/>
      <c r="N53" s="133"/>
      <c r="O53" s="227"/>
      <c r="P53" s="227"/>
      <c r="Q53" s="229"/>
      <c r="R53" s="227"/>
      <c r="S53" s="227"/>
      <c r="T53" s="133"/>
      <c r="U53" s="133"/>
      <c r="V53" s="227"/>
      <c r="W53" s="227"/>
      <c r="X53" s="229"/>
      <c r="Y53" s="227"/>
      <c r="Z53" s="227"/>
      <c r="AA53" s="136"/>
      <c r="AB53" s="133"/>
      <c r="AC53" s="227"/>
      <c r="AD53" s="227"/>
      <c r="AE53" s="227"/>
      <c r="AF53" s="227"/>
      <c r="AG53" s="497">
        <f>SUM(B53:AF53)</f>
        <v>0</v>
      </c>
    </row>
    <row r="54" spans="1:34" ht="28.9" hidden="1" thickBot="1">
      <c r="A54" s="173"/>
      <c r="B54" s="249"/>
      <c r="C54" s="251"/>
      <c r="D54" s="251"/>
      <c r="E54" s="222"/>
      <c r="F54" s="111"/>
      <c r="G54" s="102"/>
      <c r="H54" s="251"/>
      <c r="I54" s="251"/>
      <c r="J54" s="251"/>
      <c r="K54" s="251"/>
      <c r="L54" s="253"/>
      <c r="M54" s="106"/>
      <c r="N54" s="102"/>
      <c r="O54" s="251"/>
      <c r="P54" s="222"/>
      <c r="Q54" s="222"/>
      <c r="R54" s="253"/>
      <c r="S54" s="222"/>
      <c r="T54" s="105"/>
      <c r="U54" s="105"/>
      <c r="V54" s="222"/>
      <c r="W54" s="222"/>
      <c r="X54" s="253"/>
      <c r="Y54" s="222"/>
      <c r="Z54" s="256"/>
      <c r="AA54" s="106"/>
      <c r="AB54" s="105"/>
      <c r="AC54" s="222"/>
      <c r="AD54" s="222"/>
      <c r="AE54" s="253"/>
      <c r="AF54" s="253"/>
      <c r="AG54" s="215">
        <v>0</v>
      </c>
    </row>
    <row r="55" spans="1:34" ht="28.9" hidden="1" thickBot="1">
      <c r="A55" s="146"/>
      <c r="B55" s="255"/>
      <c r="C55" s="246"/>
      <c r="D55" s="246"/>
      <c r="E55" s="246"/>
      <c r="F55" s="107"/>
      <c r="G55" s="108"/>
      <c r="H55" s="246"/>
      <c r="I55" s="248"/>
      <c r="J55" s="246"/>
      <c r="K55" s="246"/>
      <c r="L55" s="248"/>
      <c r="M55" s="109"/>
      <c r="N55" s="108"/>
      <c r="O55" s="248"/>
      <c r="P55" s="246"/>
      <c r="Q55" s="246"/>
      <c r="R55" s="248"/>
      <c r="S55" s="246"/>
      <c r="T55" s="108"/>
      <c r="U55" s="108"/>
      <c r="V55" s="246"/>
      <c r="W55" s="246"/>
      <c r="X55" s="248"/>
      <c r="Y55" s="246"/>
      <c r="Z55" s="247"/>
      <c r="AA55" s="109"/>
      <c r="AB55" s="108"/>
      <c r="AC55" s="246"/>
      <c r="AD55" s="246"/>
      <c r="AE55" s="248"/>
      <c r="AF55" s="248"/>
      <c r="AG55" s="496">
        <f>SUM(B55:AF55)</f>
        <v>0</v>
      </c>
    </row>
    <row r="56" spans="1:34" ht="28.9" hidden="1" thickBot="1">
      <c r="A56" s="190"/>
      <c r="B56" s="226"/>
      <c r="C56" s="227"/>
      <c r="D56" s="227"/>
      <c r="E56" s="227"/>
      <c r="F56" s="133"/>
      <c r="G56" s="133"/>
      <c r="H56" s="227"/>
      <c r="I56" s="227"/>
      <c r="J56" s="227"/>
      <c r="K56" s="227"/>
      <c r="L56" s="227"/>
      <c r="M56" s="136"/>
      <c r="N56" s="133"/>
      <c r="O56" s="227"/>
      <c r="P56" s="227"/>
      <c r="Q56" s="229"/>
      <c r="R56" s="227"/>
      <c r="S56" s="227"/>
      <c r="T56" s="133"/>
      <c r="U56" s="133"/>
      <c r="V56" s="227"/>
      <c r="W56" s="227"/>
      <c r="X56" s="229"/>
      <c r="Y56" s="227"/>
      <c r="Z56" s="227"/>
      <c r="AA56" s="136"/>
      <c r="AB56" s="133"/>
      <c r="AC56" s="227"/>
      <c r="AD56" s="227"/>
      <c r="AE56" s="227"/>
      <c r="AF56" s="227"/>
      <c r="AG56" s="497">
        <f>SUM(B56:AF56)</f>
        <v>0</v>
      </c>
    </row>
    <row r="57" spans="1:34" ht="29.45" hidden="1" thickBot="1">
      <c r="A57" s="173"/>
      <c r="B57" s="266"/>
      <c r="C57" s="222"/>
      <c r="D57" s="222"/>
      <c r="E57" s="253"/>
      <c r="F57" s="105"/>
      <c r="G57" s="105"/>
      <c r="H57" s="222"/>
      <c r="I57" s="222"/>
      <c r="J57" s="222"/>
      <c r="K57" s="222"/>
      <c r="L57" s="222"/>
      <c r="M57" s="106"/>
      <c r="N57" s="105"/>
      <c r="O57" s="254"/>
      <c r="P57" s="222"/>
      <c r="Q57" s="254"/>
      <c r="R57" s="222"/>
      <c r="S57" s="222"/>
      <c r="T57" s="112"/>
      <c r="U57" s="105"/>
      <c r="V57" s="254"/>
      <c r="W57" s="222"/>
      <c r="X57" s="254"/>
      <c r="Y57" s="222"/>
      <c r="Z57" s="222"/>
      <c r="AA57" s="106"/>
      <c r="AB57" s="348"/>
      <c r="AC57" s="222"/>
      <c r="AD57" s="222"/>
      <c r="AE57" s="222"/>
      <c r="AF57" s="222"/>
      <c r="AG57" s="215">
        <f>SUM(B57:AF57)</f>
        <v>0</v>
      </c>
    </row>
    <row r="58" spans="1:34" ht="28.9" hidden="1" thickBot="1">
      <c r="A58" s="189"/>
      <c r="B58" s="259"/>
      <c r="C58" s="232"/>
      <c r="D58" s="232"/>
      <c r="E58" s="260"/>
      <c r="F58" s="137"/>
      <c r="G58" s="137"/>
      <c r="H58" s="232"/>
      <c r="I58" s="232"/>
      <c r="J58" s="232"/>
      <c r="K58" s="232"/>
      <c r="L58" s="232"/>
      <c r="M58" s="138"/>
      <c r="N58" s="137"/>
      <c r="O58" s="232"/>
      <c r="P58" s="232"/>
      <c r="Q58" s="232"/>
      <c r="R58" s="232"/>
      <c r="S58" s="232"/>
      <c r="T58" s="149"/>
      <c r="U58" s="137"/>
      <c r="V58" s="232"/>
      <c r="W58" s="260"/>
      <c r="X58" s="232"/>
      <c r="Y58" s="232"/>
      <c r="Z58" s="232"/>
      <c r="AA58" s="138"/>
      <c r="AB58" s="137"/>
      <c r="AC58" s="232"/>
      <c r="AD58" s="232"/>
      <c r="AE58" s="233"/>
      <c r="AF58" s="321"/>
      <c r="AG58" s="554">
        <f>SUM(B58:AF58)</f>
        <v>0</v>
      </c>
    </row>
    <row r="59" spans="1:34" ht="28.9" hidden="1" thickBot="1">
      <c r="A59" s="150"/>
      <c r="B59" s="255"/>
      <c r="C59" s="246"/>
      <c r="D59" s="246"/>
      <c r="E59" s="248"/>
      <c r="F59" s="108"/>
      <c r="G59" s="108"/>
      <c r="H59" s="246"/>
      <c r="I59" s="246"/>
      <c r="J59" s="246"/>
      <c r="K59" s="246"/>
      <c r="L59" s="248"/>
      <c r="M59" s="113"/>
      <c r="N59" s="108"/>
      <c r="O59" s="252"/>
      <c r="P59" s="246"/>
      <c r="Q59" s="252"/>
      <c r="R59" s="246"/>
      <c r="S59" s="246"/>
      <c r="T59" s="113"/>
      <c r="U59" s="108"/>
      <c r="V59" s="247"/>
      <c r="W59" s="246"/>
      <c r="X59" s="252"/>
      <c r="Y59" s="246"/>
      <c r="Z59" s="246"/>
      <c r="AA59" s="109"/>
      <c r="AB59" s="108"/>
      <c r="AC59" s="246"/>
      <c r="AD59" s="246"/>
      <c r="AE59" s="265"/>
      <c r="AF59" s="252"/>
      <c r="AG59" s="553">
        <f>SUM(B59:AF59)</f>
        <v>0</v>
      </c>
    </row>
    <row r="60" spans="1:34" ht="32.450000000000003" thickBot="1">
      <c r="A60" s="678" t="s">
        <v>40</v>
      </c>
      <c r="B60" s="311"/>
      <c r="C60" s="312"/>
      <c r="D60" s="312"/>
      <c r="E60" s="313"/>
      <c r="F60" s="312"/>
      <c r="G60" s="312"/>
      <c r="H60" s="312"/>
      <c r="I60" s="312"/>
      <c r="J60" s="312"/>
      <c r="K60" s="312"/>
      <c r="L60" s="313"/>
      <c r="M60" s="314"/>
      <c r="N60" s="312"/>
      <c r="O60" s="314"/>
      <c r="P60" s="312"/>
      <c r="Q60" s="314"/>
      <c r="R60" s="312"/>
      <c r="S60" s="312"/>
      <c r="T60" s="314"/>
      <c r="U60" s="312"/>
      <c r="V60" s="315"/>
      <c r="W60" s="312"/>
      <c r="X60" s="314"/>
      <c r="Y60" s="312"/>
      <c r="Z60" s="312"/>
      <c r="AA60" s="315"/>
      <c r="AB60" s="312"/>
      <c r="AC60" s="313"/>
      <c r="AD60" s="312"/>
      <c r="AE60" s="312"/>
      <c r="AF60" s="316"/>
      <c r="AG60" s="498" t="s">
        <v>41</v>
      </c>
    </row>
    <row r="61" spans="1:34" ht="32.450000000000003" thickBot="1">
      <c r="A61" s="679"/>
      <c r="B61" s="317"/>
      <c r="C61" s="318"/>
      <c r="D61" s="318"/>
      <c r="E61" s="318"/>
      <c r="F61" s="318"/>
      <c r="G61" s="318"/>
      <c r="H61" s="318"/>
      <c r="I61" s="318"/>
      <c r="J61" s="318"/>
      <c r="K61" s="318"/>
      <c r="L61" s="318"/>
      <c r="M61" s="318"/>
      <c r="N61" s="318"/>
      <c r="O61" s="318"/>
      <c r="P61" s="318"/>
      <c r="Q61" s="318"/>
      <c r="R61" s="318"/>
      <c r="S61" s="318"/>
      <c r="T61" s="318"/>
      <c r="U61" s="318"/>
      <c r="V61" s="318"/>
      <c r="W61" s="318"/>
      <c r="X61" s="318"/>
      <c r="Y61" s="318"/>
      <c r="Z61" s="318"/>
      <c r="AA61" s="318"/>
      <c r="AB61" s="318"/>
      <c r="AC61" s="318"/>
      <c r="AD61" s="318"/>
      <c r="AE61" s="318"/>
      <c r="AF61" s="319"/>
      <c r="AG61" s="499">
        <v>165.5</v>
      </c>
    </row>
    <row r="62" spans="1:34" ht="29.45" thickTop="1">
      <c r="A62" s="125" t="s">
        <v>42</v>
      </c>
      <c r="B62" s="126"/>
      <c r="C62" s="126"/>
      <c r="D62" s="124"/>
      <c r="E62" s="124"/>
      <c r="F62" s="124"/>
      <c r="G62" s="124"/>
      <c r="H62" s="127"/>
      <c r="I62" s="7"/>
      <c r="J62" s="7"/>
      <c r="K62" s="20" t="s">
        <v>43</v>
      </c>
      <c r="L62" s="37"/>
      <c r="M62" s="37"/>
      <c r="N62" s="37"/>
      <c r="O62" s="37"/>
      <c r="P62" s="22"/>
      <c r="Q62" s="22"/>
      <c r="R62" s="128"/>
      <c r="S62" s="128" t="s">
        <v>44</v>
      </c>
      <c r="T62" s="23"/>
      <c r="U62" s="129"/>
      <c r="V62" s="7"/>
      <c r="W62" s="7"/>
      <c r="X62" s="25"/>
      <c r="Y62" s="26"/>
      <c r="Z62" s="26"/>
      <c r="AA62" s="26"/>
      <c r="AB62" s="90" t="s">
        <v>45</v>
      </c>
      <c r="AC62" s="26"/>
      <c r="AD62" s="26"/>
      <c r="AE62" s="26"/>
      <c r="AF62" s="26"/>
      <c r="AG62" s="55"/>
    </row>
    <row r="63" spans="1:34" ht="28.9">
      <c r="A63" s="16" t="s">
        <v>46</v>
      </c>
      <c r="B63" s="17"/>
      <c r="C63" s="17"/>
      <c r="D63" s="18"/>
      <c r="E63" s="18"/>
      <c r="F63" s="18"/>
      <c r="G63" s="18"/>
      <c r="H63" s="19"/>
      <c r="I63" s="7"/>
      <c r="J63" s="7"/>
      <c r="K63" s="20" t="s">
        <v>47</v>
      </c>
      <c r="L63" s="21"/>
      <c r="M63" s="21"/>
      <c r="N63" s="21"/>
      <c r="O63" s="21"/>
      <c r="P63" s="22"/>
      <c r="Q63" s="128"/>
      <c r="R63" s="128" t="s">
        <v>48</v>
      </c>
      <c r="S63" s="23"/>
      <c r="T63" s="23"/>
      <c r="U63" s="24"/>
      <c r="V63" s="7"/>
      <c r="W63" s="7"/>
      <c r="X63" s="25"/>
      <c r="Y63" s="26"/>
      <c r="Z63" s="26"/>
      <c r="AA63" s="26"/>
      <c r="AB63" s="26"/>
      <c r="AC63" s="26"/>
      <c r="AD63" s="26"/>
      <c r="AE63" s="26"/>
      <c r="AF63" s="26"/>
      <c r="AG63" s="55"/>
    </row>
    <row r="64" spans="1:34" ht="28.15">
      <c r="A64" s="27" t="s">
        <v>49</v>
      </c>
      <c r="B64" s="28"/>
      <c r="C64" s="28"/>
      <c r="D64" s="28"/>
      <c r="E64" s="28"/>
      <c r="F64" s="28"/>
      <c r="G64" s="28"/>
      <c r="H64" s="29"/>
      <c r="I64" s="7"/>
      <c r="J64" s="7"/>
      <c r="K64" s="20" t="s">
        <v>50</v>
      </c>
      <c r="L64" s="21"/>
      <c r="M64" s="21"/>
      <c r="N64" s="21"/>
      <c r="O64" s="21"/>
      <c r="P64" s="22"/>
      <c r="Q64" s="22"/>
      <c r="R64" s="22"/>
      <c r="S64" s="22"/>
      <c r="T64" s="22"/>
      <c r="U64" s="30"/>
      <c r="V64" s="7"/>
      <c r="W64" s="7"/>
      <c r="X64" s="31"/>
      <c r="Y64" s="26"/>
      <c r="Z64" s="26"/>
      <c r="AA64" s="26"/>
      <c r="AB64" s="26"/>
      <c r="AC64" s="26"/>
      <c r="AD64" s="26"/>
      <c r="AE64" s="26"/>
      <c r="AF64" s="26"/>
      <c r="AG64" s="15"/>
    </row>
    <row r="65" spans="1:33" ht="28.9">
      <c r="A65" s="32" t="s">
        <v>51</v>
      </c>
      <c r="B65" s="33"/>
      <c r="C65" s="33"/>
      <c r="D65" s="34"/>
      <c r="E65" s="34"/>
      <c r="F65" s="34"/>
      <c r="G65" s="34"/>
      <c r="H65" s="35"/>
      <c r="I65" s="36"/>
      <c r="J65" s="36"/>
      <c r="K65" s="20" t="s">
        <v>70</v>
      </c>
      <c r="L65" s="21"/>
      <c r="M65" s="21"/>
      <c r="N65" s="21"/>
      <c r="O65" s="21"/>
      <c r="P65" s="37"/>
      <c r="Q65" s="37"/>
      <c r="R65" s="37"/>
      <c r="S65" s="38"/>
      <c r="T65" s="37"/>
      <c r="U65" s="39"/>
      <c r="V65" s="40"/>
      <c r="W65" s="6"/>
      <c r="X65" s="701"/>
      <c r="Y65" s="702"/>
      <c r="Z65" s="702"/>
      <c r="AA65" s="702"/>
      <c r="AB65" s="702"/>
      <c r="AC65" s="702"/>
      <c r="AD65" s="702"/>
      <c r="AE65" s="702"/>
      <c r="AF65" s="702"/>
      <c r="AG65" s="703"/>
    </row>
    <row r="66" spans="1:33" ht="28.9">
      <c r="A66" s="42" t="s">
        <v>53</v>
      </c>
      <c r="B66" s="43"/>
      <c r="C66" s="43"/>
      <c r="D66" s="43"/>
      <c r="E66" s="43"/>
      <c r="F66" s="43"/>
      <c r="G66" s="43"/>
      <c r="H66" s="44"/>
      <c r="I66" s="36"/>
      <c r="J66" s="36"/>
      <c r="K66" s="20" t="s">
        <v>71</v>
      </c>
      <c r="L66" s="21"/>
      <c r="M66" s="21"/>
      <c r="N66" s="21"/>
      <c r="O66" s="21"/>
      <c r="P66" s="21"/>
      <c r="Q66" s="21"/>
      <c r="R66" s="21"/>
      <c r="S66" s="38"/>
      <c r="T66" s="37"/>
      <c r="U66" s="39"/>
      <c r="V66" s="40"/>
      <c r="W66" s="6"/>
      <c r="X66" s="41"/>
      <c r="Y66" s="45"/>
      <c r="Z66" s="46"/>
      <c r="AA66" s="45"/>
      <c r="AB66" s="45"/>
      <c r="AC66" s="45"/>
      <c r="AD66" s="45"/>
      <c r="AE66" s="45"/>
      <c r="AF66" s="45"/>
      <c r="AG66" s="15"/>
    </row>
    <row r="67" spans="1:33" ht="28.9">
      <c r="A67" s="47" t="s">
        <v>55</v>
      </c>
      <c r="B67" s="48"/>
      <c r="C67" s="48"/>
      <c r="D67" s="49"/>
      <c r="E67" s="49"/>
      <c r="F67" s="49"/>
      <c r="G67" s="49"/>
      <c r="H67" s="50"/>
      <c r="I67" s="36"/>
      <c r="J67" s="36"/>
      <c r="K67" s="20" t="s">
        <v>56</v>
      </c>
      <c r="L67" s="21"/>
      <c r="M67" s="21"/>
      <c r="N67" s="21"/>
      <c r="O67" s="21"/>
      <c r="P67" s="21"/>
      <c r="Q67" s="21"/>
      <c r="R67" s="21"/>
      <c r="S67" s="38"/>
      <c r="T67" s="37"/>
      <c r="U67" s="51"/>
      <c r="V67" s="40"/>
      <c r="W67" s="6"/>
      <c r="X67" s="41"/>
      <c r="Y67" s="45"/>
      <c r="Z67" s="46"/>
      <c r="AA67" s="45"/>
      <c r="AB67" s="45"/>
      <c r="AC67" s="45"/>
      <c r="AD67" s="45"/>
      <c r="AE67" s="45"/>
      <c r="AF67" s="45"/>
      <c r="AG67" s="15"/>
    </row>
    <row r="68" spans="1:33" ht="28.9">
      <c r="A68" s="52" t="s">
        <v>57</v>
      </c>
      <c r="B68" s="53"/>
      <c r="C68" s="53"/>
      <c r="D68" s="53"/>
      <c r="E68" s="53"/>
      <c r="F68" s="53"/>
      <c r="G68" s="53"/>
      <c r="H68" s="54"/>
      <c r="I68" s="36"/>
      <c r="J68" s="36"/>
      <c r="K68" s="20" t="s">
        <v>58</v>
      </c>
      <c r="L68" s="21"/>
      <c r="M68" s="21"/>
      <c r="N68" s="21"/>
      <c r="O68" s="21"/>
      <c r="P68" s="21"/>
      <c r="Q68" s="21" t="s">
        <v>59</v>
      </c>
      <c r="R68" s="21"/>
      <c r="S68" s="38"/>
      <c r="T68" s="37"/>
      <c r="U68" s="39"/>
      <c r="V68" s="40"/>
      <c r="W68" s="6"/>
      <c r="X68" s="41"/>
      <c r="Y68" s="45"/>
      <c r="Z68" s="46"/>
      <c r="AA68" s="45"/>
      <c r="AB68" s="45"/>
      <c r="AC68" s="45"/>
      <c r="AD68" s="45"/>
      <c r="AE68" s="45"/>
      <c r="AF68" s="45"/>
      <c r="AG68" s="55"/>
    </row>
    <row r="69" spans="1:33" ht="29.45" thickBot="1">
      <c r="A69" s="78" t="s">
        <v>60</v>
      </c>
      <c r="B69" s="79"/>
      <c r="C69" s="79"/>
      <c r="D69" s="80"/>
      <c r="E69" s="80"/>
      <c r="F69" s="80"/>
      <c r="G69" s="80"/>
      <c r="H69" s="81"/>
      <c r="I69" s="6"/>
      <c r="J69" s="6"/>
      <c r="K69" s="20" t="s">
        <v>61</v>
      </c>
      <c r="L69" s="21"/>
      <c r="M69" s="21"/>
      <c r="N69" s="21"/>
      <c r="O69" s="21"/>
      <c r="P69" s="21"/>
      <c r="Q69" s="21"/>
      <c r="R69" s="21"/>
      <c r="S69" s="38"/>
      <c r="T69" s="37"/>
      <c r="U69" s="51"/>
      <c r="V69" s="6"/>
      <c r="W69" s="6"/>
      <c r="X69" s="41"/>
      <c r="Y69" s="45"/>
      <c r="Z69" s="46"/>
      <c r="AA69" s="45"/>
      <c r="AB69" s="45"/>
      <c r="AC69" s="45"/>
      <c r="AD69" s="45"/>
      <c r="AE69" s="45"/>
      <c r="AF69" s="45"/>
      <c r="AG69" s="55"/>
    </row>
    <row r="70" spans="1:33" ht="29.45" thickBot="1">
      <c r="A70" s="82" t="s">
        <v>62</v>
      </c>
      <c r="B70" s="83"/>
      <c r="C70" s="83"/>
      <c r="D70" s="83"/>
      <c r="E70" s="83"/>
      <c r="F70" s="83"/>
      <c r="G70" s="83"/>
      <c r="H70" s="84"/>
      <c r="I70" s="6"/>
      <c r="J70" s="6"/>
      <c r="K70" s="63" t="s">
        <v>63</v>
      </c>
      <c r="L70" s="64"/>
      <c r="M70" s="64"/>
      <c r="N70" s="64"/>
      <c r="O70" s="64"/>
      <c r="P70" s="64"/>
      <c r="Q70" s="64"/>
      <c r="R70" s="64"/>
      <c r="S70" s="65"/>
      <c r="T70" s="66"/>
      <c r="U70" s="67"/>
      <c r="V70" s="6"/>
      <c r="W70" s="6"/>
      <c r="X70" s="68"/>
      <c r="Y70" s="69"/>
      <c r="Z70" s="70"/>
      <c r="AA70" s="69"/>
      <c r="AB70" s="69"/>
      <c r="AC70" s="69"/>
      <c r="AD70" s="69"/>
      <c r="AE70" s="69"/>
      <c r="AF70" s="69"/>
      <c r="AG70" s="71"/>
    </row>
    <row r="71" spans="1:33" ht="28.9">
      <c r="A71" s="6"/>
      <c r="B71" s="6"/>
      <c r="C71" s="6"/>
      <c r="D71" s="6"/>
      <c r="E71" s="6"/>
      <c r="F71" s="6"/>
      <c r="G71" s="6"/>
      <c r="H71" s="6"/>
      <c r="I71" s="6"/>
      <c r="J71" s="72"/>
      <c r="K71" s="73"/>
      <c r="L71" s="74"/>
      <c r="M71" s="74"/>
      <c r="N71" s="74"/>
      <c r="O71" s="74"/>
      <c r="P71" s="74"/>
      <c r="Q71" s="74"/>
      <c r="R71" s="72"/>
      <c r="S71" s="72"/>
      <c r="T71" s="72"/>
      <c r="U71" s="72"/>
      <c r="V71" s="72"/>
      <c r="W71" s="72"/>
      <c r="X71" s="72"/>
      <c r="Y71" s="72"/>
      <c r="Z71" s="6"/>
      <c r="AA71" s="6"/>
      <c r="AB71" s="6"/>
      <c r="AC71" s="6"/>
      <c r="AD71" s="6"/>
      <c r="AE71" s="6"/>
      <c r="AF71" s="6"/>
      <c r="AG71" s="6"/>
    </row>
    <row r="72" spans="1:33" ht="28.9">
      <c r="A72" s="6" t="s">
        <v>64</v>
      </c>
      <c r="B72" s="6"/>
      <c r="C72" s="6"/>
      <c r="D72" s="6"/>
      <c r="E72" s="6"/>
      <c r="F72" s="6"/>
      <c r="G72" s="6"/>
      <c r="H72" s="6" t="s">
        <v>65</v>
      </c>
      <c r="I72" s="6"/>
      <c r="J72" s="72"/>
      <c r="K72" s="73"/>
      <c r="L72" s="74"/>
      <c r="M72" s="74"/>
      <c r="N72" s="74"/>
      <c r="O72" s="74"/>
      <c r="P72" s="74" t="s">
        <v>66</v>
      </c>
      <c r="Q72" s="74"/>
      <c r="R72" s="72"/>
      <c r="S72" s="72"/>
      <c r="T72" s="72"/>
      <c r="U72" s="72"/>
      <c r="V72" s="72"/>
      <c r="W72" s="72"/>
      <c r="X72" s="72"/>
      <c r="Y72" s="72"/>
      <c r="Z72" s="6"/>
      <c r="AA72" s="6" t="s">
        <v>72</v>
      </c>
      <c r="AB72" s="6"/>
      <c r="AC72" s="6"/>
      <c r="AD72" s="6"/>
      <c r="AE72" s="6"/>
      <c r="AF72" s="6"/>
      <c r="AG72" s="6"/>
    </row>
    <row r="73" spans="1:33" ht="28.9">
      <c r="A73" s="6"/>
      <c r="B73" s="6"/>
      <c r="C73" s="6"/>
      <c r="D73" s="6"/>
      <c r="E73" s="6"/>
      <c r="F73" s="6"/>
      <c r="G73" s="6"/>
      <c r="H73" s="6"/>
      <c r="I73" s="6"/>
      <c r="J73" s="72"/>
      <c r="K73" s="73"/>
      <c r="L73" s="74"/>
      <c r="M73" s="74"/>
      <c r="N73" s="74"/>
      <c r="O73" s="74"/>
      <c r="P73" s="74" t="s">
        <v>68</v>
      </c>
      <c r="Q73" s="74"/>
      <c r="R73" s="72"/>
      <c r="S73" s="72"/>
      <c r="T73" s="72"/>
      <c r="U73" s="72"/>
      <c r="V73" s="72"/>
      <c r="W73" s="72"/>
      <c r="X73" s="72"/>
      <c r="Y73" s="72"/>
      <c r="Z73" s="6"/>
      <c r="AA73" s="6"/>
      <c r="AB73" s="6"/>
      <c r="AC73" s="6"/>
      <c r="AD73" s="6"/>
      <c r="AE73" s="6"/>
      <c r="AF73" s="6"/>
    </row>
    <row r="74" spans="1:33" ht="28.9">
      <c r="A74" s="6"/>
      <c r="B74" s="6"/>
      <c r="C74" s="6"/>
      <c r="D74" s="6"/>
      <c r="E74" s="6"/>
      <c r="F74" s="6"/>
      <c r="G74" s="6"/>
      <c r="H74" s="6"/>
      <c r="I74" s="6"/>
      <c r="J74" s="72"/>
      <c r="K74" s="73"/>
      <c r="L74" s="74"/>
      <c r="M74" s="74"/>
      <c r="N74" s="74"/>
      <c r="O74" s="74"/>
      <c r="P74" s="74"/>
      <c r="Q74" s="74"/>
      <c r="R74" s="72"/>
      <c r="S74" s="72"/>
      <c r="T74" s="72"/>
      <c r="U74" s="72"/>
      <c r="V74" s="72"/>
      <c r="W74" s="72"/>
      <c r="X74" s="72"/>
      <c r="Y74" s="72"/>
      <c r="Z74" s="6"/>
      <c r="AA74" s="6"/>
      <c r="AB74" s="6"/>
      <c r="AC74" s="6"/>
      <c r="AD74" s="6"/>
      <c r="AE74" s="6"/>
      <c r="AF74" s="6"/>
    </row>
    <row r="75" spans="1:33" ht="28.9">
      <c r="A75" s="6"/>
      <c r="B75" s="6"/>
      <c r="C75" s="6"/>
      <c r="D75" s="6"/>
      <c r="E75" s="6"/>
      <c r="F75" s="6"/>
      <c r="G75" s="6"/>
      <c r="H75" s="6"/>
      <c r="I75" s="6"/>
      <c r="J75" s="72"/>
      <c r="K75" s="73"/>
      <c r="L75" s="74"/>
      <c r="M75" s="74"/>
      <c r="N75" s="74"/>
      <c r="O75" s="74"/>
      <c r="P75" s="74"/>
      <c r="Q75" s="74"/>
      <c r="R75" s="72"/>
      <c r="S75" s="72"/>
      <c r="T75" s="72"/>
      <c r="U75" s="72"/>
      <c r="V75" s="72"/>
      <c r="W75" s="72"/>
      <c r="X75" s="72"/>
      <c r="Y75" s="72"/>
      <c r="Z75" s="6"/>
      <c r="AA75" s="6"/>
      <c r="AB75" s="6"/>
      <c r="AC75" s="6"/>
      <c r="AD75" s="6"/>
      <c r="AE75" s="6"/>
      <c r="AF75" s="6"/>
    </row>
    <row r="76" spans="1:33" ht="28.9">
      <c r="A76" s="6"/>
      <c r="B76" s="6"/>
      <c r="C76" s="6"/>
      <c r="D76" s="6"/>
      <c r="E76" s="6"/>
      <c r="F76" s="6"/>
      <c r="G76" s="6"/>
      <c r="H76" s="6"/>
      <c r="I76" s="6"/>
      <c r="J76" s="72"/>
      <c r="K76" s="73"/>
      <c r="L76" s="74"/>
      <c r="M76" s="74"/>
      <c r="N76" s="74"/>
      <c r="O76" s="74"/>
      <c r="P76" s="74"/>
      <c r="Q76" s="74"/>
      <c r="R76" s="72"/>
      <c r="S76" s="72"/>
      <c r="T76" s="72"/>
      <c r="U76" s="72"/>
      <c r="V76" s="72"/>
      <c r="W76" s="72"/>
      <c r="X76" s="72"/>
      <c r="Y76" s="72"/>
      <c r="Z76" s="6"/>
      <c r="AA76" s="6"/>
      <c r="AB76" s="6"/>
      <c r="AC76" s="6"/>
      <c r="AD76" s="6"/>
      <c r="AE76" s="6"/>
      <c r="AF76" s="6"/>
    </row>
    <row r="77" spans="1:33">
      <c r="A77" s="680"/>
      <c r="B77" s="681"/>
      <c r="C77" s="681"/>
      <c r="D77" s="681"/>
      <c r="E77" s="681"/>
      <c r="F77" s="681"/>
      <c r="G77" s="681"/>
      <c r="H77" s="681"/>
      <c r="I77" s="681"/>
      <c r="J77" s="681"/>
      <c r="K77" s="681"/>
      <c r="L77" s="681"/>
      <c r="M77" s="681"/>
      <c r="N77" s="681"/>
      <c r="O77" s="681"/>
      <c r="P77" s="681"/>
      <c r="Q77" s="681"/>
      <c r="R77" s="681"/>
      <c r="S77" s="681"/>
      <c r="T77" s="681"/>
      <c r="U77" s="681"/>
      <c r="V77" s="681"/>
      <c r="W77" s="681"/>
      <c r="X77" s="681"/>
      <c r="Y77" s="681"/>
      <c r="Z77" s="681"/>
      <c r="AA77" s="681"/>
      <c r="AB77" s="681"/>
      <c r="AC77" s="681"/>
      <c r="AD77" s="681"/>
      <c r="AE77" s="681"/>
      <c r="AF77" s="681"/>
    </row>
    <row r="78" spans="1:33">
      <c r="A78" s="681"/>
      <c r="B78" s="681"/>
      <c r="C78" s="681"/>
      <c r="D78" s="681"/>
      <c r="E78" s="681"/>
      <c r="F78" s="681"/>
      <c r="G78" s="681"/>
      <c r="H78" s="681"/>
      <c r="I78" s="681"/>
      <c r="J78" s="681"/>
      <c r="K78" s="681"/>
      <c r="L78" s="681"/>
      <c r="M78" s="681"/>
      <c r="N78" s="681"/>
      <c r="O78" s="681"/>
      <c r="P78" s="681"/>
      <c r="Q78" s="681"/>
      <c r="R78" s="681"/>
      <c r="S78" s="681"/>
      <c r="T78" s="681"/>
      <c r="U78" s="681"/>
      <c r="V78" s="681"/>
      <c r="W78" s="681"/>
      <c r="X78" s="681"/>
      <c r="Y78" s="681"/>
      <c r="Z78" s="681"/>
      <c r="AA78" s="681"/>
      <c r="AB78" s="681"/>
      <c r="AC78" s="681"/>
      <c r="AD78" s="681"/>
      <c r="AE78" s="681"/>
      <c r="AF78" s="681"/>
    </row>
    <row r="79" spans="1:33">
      <c r="A79" s="704"/>
      <c r="B79" s="704"/>
      <c r="C79" s="704"/>
      <c r="D79" s="704"/>
      <c r="E79" s="704"/>
      <c r="F79" s="704"/>
      <c r="G79" s="704"/>
      <c r="H79" s="704"/>
      <c r="I79" s="704"/>
      <c r="J79" s="704"/>
      <c r="K79" s="704"/>
      <c r="L79" s="704"/>
      <c r="M79" s="704"/>
      <c r="N79" s="704"/>
      <c r="O79" s="704"/>
      <c r="P79" s="704"/>
      <c r="Q79" s="704"/>
      <c r="R79" s="704"/>
      <c r="S79" s="704"/>
      <c r="T79" s="704"/>
      <c r="U79" s="704"/>
      <c r="V79" s="704"/>
      <c r="W79" s="704"/>
      <c r="X79" s="704"/>
      <c r="Y79" s="704"/>
      <c r="Z79" s="704"/>
      <c r="AA79" s="704"/>
      <c r="AB79" s="704"/>
      <c r="AC79" s="704"/>
      <c r="AD79" s="704"/>
      <c r="AE79" s="704"/>
      <c r="AF79" s="704"/>
    </row>
    <row r="80" spans="1:33">
      <c r="A80" s="704"/>
      <c r="B80" s="704"/>
      <c r="C80" s="704"/>
      <c r="D80" s="704"/>
      <c r="E80" s="704"/>
      <c r="F80" s="704"/>
      <c r="G80" s="704"/>
      <c r="H80" s="704"/>
      <c r="I80" s="704"/>
      <c r="J80" s="704"/>
      <c r="K80" s="704"/>
      <c r="L80" s="704"/>
      <c r="M80" s="704"/>
      <c r="N80" s="704"/>
      <c r="O80" s="704"/>
      <c r="P80" s="704"/>
      <c r="Q80" s="704"/>
      <c r="R80" s="704"/>
      <c r="S80" s="704"/>
      <c r="T80" s="704"/>
      <c r="U80" s="704"/>
      <c r="V80" s="704"/>
      <c r="W80" s="704"/>
      <c r="X80" s="704"/>
      <c r="Y80" s="704"/>
      <c r="Z80" s="704"/>
      <c r="AA80" s="704"/>
      <c r="AB80" s="704"/>
      <c r="AC80" s="704"/>
      <c r="AD80" s="704"/>
      <c r="AE80" s="704"/>
      <c r="AF80" s="704"/>
    </row>
  </sheetData>
  <mergeCells count="3">
    <mergeCell ref="A60:A61"/>
    <mergeCell ref="X65:AG65"/>
    <mergeCell ref="A77:AF80"/>
  </mergeCells>
  <pageMargins left="0.7" right="0.7" top="0.75" bottom="0.75" header="0.3" footer="0.3"/>
  <pageSetup paperSize="9" orientation="landscape"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8ABEC-52DF-1C40-9216-498AE45EC2C3}">
  <sheetPr>
    <tabColor rgb="FFFFC000"/>
  </sheetPr>
  <dimension ref="A1:AI80"/>
  <sheetViews>
    <sheetView showGridLines="0" zoomScale="41" zoomScaleNormal="40" workbookViewId="0">
      <selection activeCell="AG62" sqref="AG62"/>
    </sheetView>
  </sheetViews>
  <sheetFormatPr defaultColWidth="8.7109375" defaultRowHeight="14.45"/>
  <cols>
    <col min="1" max="1" width="19.7109375" customWidth="1"/>
    <col min="4" max="4" width="8.7109375" style="1"/>
    <col min="5" max="5" width="8.7109375" customWidth="1"/>
    <col min="11" max="11" width="8.140625" customWidth="1"/>
    <col min="23" max="23" width="9.42578125" customWidth="1"/>
    <col min="26" max="26" width="9.140625" customWidth="1"/>
    <col min="33" max="33" width="11.140625" customWidth="1"/>
    <col min="34" max="34" width="23" customWidth="1"/>
  </cols>
  <sheetData>
    <row r="1" spans="1:34" ht="28.9" thickTop="1" thickBot="1">
      <c r="A1" s="185" t="s">
        <v>0</v>
      </c>
      <c r="B1" s="280">
        <v>1</v>
      </c>
      <c r="C1" s="140">
        <v>2</v>
      </c>
      <c r="D1" s="140">
        <v>3</v>
      </c>
      <c r="E1" s="282">
        <v>4</v>
      </c>
      <c r="F1" s="281">
        <v>5</v>
      </c>
      <c r="G1" s="281">
        <v>6</v>
      </c>
      <c r="H1" s="369">
        <v>7</v>
      </c>
      <c r="I1" s="281">
        <v>8</v>
      </c>
      <c r="J1" s="140">
        <v>9</v>
      </c>
      <c r="K1" s="140">
        <v>10</v>
      </c>
      <c r="L1" s="283">
        <v>11</v>
      </c>
      <c r="M1" s="284">
        <v>12</v>
      </c>
      <c r="N1" s="281">
        <v>13</v>
      </c>
      <c r="O1" s="281">
        <v>14</v>
      </c>
      <c r="P1" s="283">
        <v>15</v>
      </c>
      <c r="Q1" s="140">
        <v>16</v>
      </c>
      <c r="R1" s="142">
        <v>17</v>
      </c>
      <c r="S1" s="281">
        <v>18</v>
      </c>
      <c r="T1" s="281">
        <v>19</v>
      </c>
      <c r="U1" s="283">
        <v>20</v>
      </c>
      <c r="V1" s="369">
        <v>21</v>
      </c>
      <c r="W1" s="283">
        <v>22</v>
      </c>
      <c r="X1" s="140">
        <v>23</v>
      </c>
      <c r="Y1" s="142">
        <v>24</v>
      </c>
      <c r="Z1" s="281">
        <v>25</v>
      </c>
      <c r="AA1" s="283">
        <v>26</v>
      </c>
      <c r="AB1" s="281">
        <v>27</v>
      </c>
      <c r="AC1" s="283">
        <v>28</v>
      </c>
      <c r="AD1" s="281">
        <v>29</v>
      </c>
      <c r="AE1" s="140">
        <v>30</v>
      </c>
      <c r="AF1" s="143">
        <v>31</v>
      </c>
      <c r="AG1" s="176" t="s">
        <v>1</v>
      </c>
      <c r="AH1" s="485" t="s">
        <v>2</v>
      </c>
    </row>
    <row r="2" spans="1:34" ht="29.45" thickBot="1">
      <c r="A2" s="186" t="s">
        <v>82</v>
      </c>
      <c r="B2" s="290" t="s">
        <v>6</v>
      </c>
      <c r="C2" s="121" t="s">
        <v>7</v>
      </c>
      <c r="D2" s="181" t="s">
        <v>8</v>
      </c>
      <c r="E2" s="119" t="s">
        <v>9</v>
      </c>
      <c r="F2" s="120" t="s">
        <v>10</v>
      </c>
      <c r="G2" s="120" t="s">
        <v>4</v>
      </c>
      <c r="H2" s="407" t="s">
        <v>5</v>
      </c>
      <c r="I2" s="120" t="s">
        <v>6</v>
      </c>
      <c r="J2" s="346" t="s">
        <v>7</v>
      </c>
      <c r="K2" s="181" t="s">
        <v>8</v>
      </c>
      <c r="L2" s="119" t="s">
        <v>9</v>
      </c>
      <c r="M2" s="120" t="s">
        <v>10</v>
      </c>
      <c r="N2" s="120" t="s">
        <v>4</v>
      </c>
      <c r="O2" s="120" t="s">
        <v>5</v>
      </c>
      <c r="P2" s="120" t="s">
        <v>6</v>
      </c>
      <c r="Q2" s="346" t="s">
        <v>7</v>
      </c>
      <c r="R2" s="181" t="s">
        <v>8</v>
      </c>
      <c r="S2" s="119" t="s">
        <v>9</v>
      </c>
      <c r="T2" s="120" t="s">
        <v>10</v>
      </c>
      <c r="U2" s="120" t="s">
        <v>4</v>
      </c>
      <c r="V2" s="407" t="s">
        <v>5</v>
      </c>
      <c r="W2" s="120" t="s">
        <v>6</v>
      </c>
      <c r="X2" s="346" t="s">
        <v>7</v>
      </c>
      <c r="Y2" s="181" t="s">
        <v>8</v>
      </c>
      <c r="Z2" s="119" t="s">
        <v>9</v>
      </c>
      <c r="AA2" s="120" t="s">
        <v>10</v>
      </c>
      <c r="AB2" s="120" t="s">
        <v>4</v>
      </c>
      <c r="AC2" s="120" t="s">
        <v>5</v>
      </c>
      <c r="AD2" s="120" t="s">
        <v>6</v>
      </c>
      <c r="AE2" s="346" t="s">
        <v>7</v>
      </c>
      <c r="AF2" s="181" t="s">
        <v>8</v>
      </c>
      <c r="AG2" s="214">
        <f>SUM(AG5,AG8,AG11,AG17,AG20,AG23,AG26,AG29,AG32,AG35,AG38,AG41,AG44,AG47,AG50,AG53,AG56,AG59)</f>
        <v>62</v>
      </c>
      <c r="AH2" s="486" t="s">
        <v>11</v>
      </c>
    </row>
    <row r="3" spans="1:34" ht="28.9" thickBot="1">
      <c r="A3" s="146" t="s">
        <v>12</v>
      </c>
      <c r="B3" s="292" t="s">
        <v>13</v>
      </c>
      <c r="C3" s="122"/>
      <c r="D3" s="122"/>
      <c r="E3" s="624" t="s">
        <v>13</v>
      </c>
      <c r="F3" s="624" t="s">
        <v>13</v>
      </c>
      <c r="G3" s="624" t="s">
        <v>13</v>
      </c>
      <c r="H3" s="624" t="s">
        <v>13</v>
      </c>
      <c r="I3" s="624" t="s">
        <v>13</v>
      </c>
      <c r="J3" s="624"/>
      <c r="K3" s="624"/>
      <c r="L3" s="220" t="s">
        <v>13</v>
      </c>
      <c r="M3" s="293" t="s">
        <v>13</v>
      </c>
      <c r="N3" s="220" t="s">
        <v>13</v>
      </c>
      <c r="O3" s="220" t="s">
        <v>13</v>
      </c>
      <c r="P3" s="220" t="s">
        <v>13</v>
      </c>
      <c r="Q3" s="122"/>
      <c r="R3" s="122"/>
      <c r="S3" s="624" t="s">
        <v>13</v>
      </c>
      <c r="T3" s="624" t="s">
        <v>13</v>
      </c>
      <c r="U3" s="624" t="s">
        <v>13</v>
      </c>
      <c r="V3" s="624" t="s">
        <v>13</v>
      </c>
      <c r="W3" s="624" t="s">
        <v>13</v>
      </c>
      <c r="X3" s="624"/>
      <c r="Y3" s="624"/>
      <c r="Z3" s="220" t="s">
        <v>13</v>
      </c>
      <c r="AA3" s="293" t="s">
        <v>13</v>
      </c>
      <c r="AB3" s="220" t="s">
        <v>13</v>
      </c>
      <c r="AC3" s="220" t="s">
        <v>13</v>
      </c>
      <c r="AD3" s="220" t="s">
        <v>13</v>
      </c>
      <c r="AE3" s="122"/>
      <c r="AF3" s="122"/>
      <c r="AG3" s="215">
        <f t="shared" ref="AG3:AG32" si="0">SUM(B3:AF3)</f>
        <v>0</v>
      </c>
      <c r="AH3" s="487"/>
    </row>
    <row r="4" spans="1:34" ht="28.9" thickBot="1">
      <c r="A4" s="146" t="s">
        <v>14</v>
      </c>
      <c r="B4" s="223">
        <v>7.5</v>
      </c>
      <c r="C4" s="103"/>
      <c r="D4" s="103"/>
      <c r="E4" s="224">
        <v>7.5</v>
      </c>
      <c r="F4" s="224">
        <v>7.5</v>
      </c>
      <c r="G4" s="224">
        <v>7.5</v>
      </c>
      <c r="H4" s="372">
        <v>7.5</v>
      </c>
      <c r="I4" s="224">
        <v>7.5</v>
      </c>
      <c r="J4" s="103"/>
      <c r="K4" s="103"/>
      <c r="L4" s="224">
        <v>7.5</v>
      </c>
      <c r="M4" s="224">
        <v>7.5</v>
      </c>
      <c r="N4" s="224">
        <v>7.5</v>
      </c>
      <c r="O4" s="224">
        <v>7.5</v>
      </c>
      <c r="P4" s="224">
        <v>7.5</v>
      </c>
      <c r="Q4" s="103"/>
      <c r="R4" s="103"/>
      <c r="S4" s="224">
        <v>7.5</v>
      </c>
      <c r="T4" s="224">
        <v>7.5</v>
      </c>
      <c r="U4" s="224">
        <v>7.5</v>
      </c>
      <c r="V4" s="372">
        <v>7.5</v>
      </c>
      <c r="W4" s="224">
        <v>7.5</v>
      </c>
      <c r="X4" s="103"/>
      <c r="Y4" s="103"/>
      <c r="Z4" s="224">
        <v>7.5</v>
      </c>
      <c r="AA4" s="224">
        <v>7.5</v>
      </c>
      <c r="AB4" s="224">
        <v>7.5</v>
      </c>
      <c r="AC4" s="224">
        <v>7.5</v>
      </c>
      <c r="AD4" s="224">
        <v>7.5</v>
      </c>
      <c r="AE4" s="103"/>
      <c r="AF4" s="103"/>
      <c r="AG4" s="496">
        <f t="shared" si="0"/>
        <v>157.5</v>
      </c>
      <c r="AH4" s="488"/>
    </row>
    <row r="5" spans="1:34" ht="28.9" thickBot="1">
      <c r="A5" s="368" t="s">
        <v>15</v>
      </c>
      <c r="B5" s="223"/>
      <c r="C5" s="103"/>
      <c r="D5" s="103"/>
      <c r="E5" s="294"/>
      <c r="F5" s="224"/>
      <c r="G5" s="224"/>
      <c r="H5" s="372"/>
      <c r="I5" s="224"/>
      <c r="J5" s="103"/>
      <c r="K5" s="145"/>
      <c r="L5" s="224"/>
      <c r="M5" s="257"/>
      <c r="N5" s="224"/>
      <c r="O5" s="257"/>
      <c r="P5" s="224"/>
      <c r="Q5" s="145"/>
      <c r="R5" s="103"/>
      <c r="S5" s="224"/>
      <c r="T5" s="257"/>
      <c r="U5" s="224"/>
      <c r="V5" s="409"/>
      <c r="W5" s="224"/>
      <c r="X5" s="145"/>
      <c r="Y5" s="103"/>
      <c r="Z5" s="225"/>
      <c r="AA5" s="225"/>
      <c r="AB5" s="224"/>
      <c r="AC5" s="257"/>
      <c r="AD5" s="224"/>
      <c r="AE5" s="103"/>
      <c r="AF5" s="103"/>
      <c r="AG5" s="497">
        <f t="shared" si="0"/>
        <v>0</v>
      </c>
      <c r="AH5" s="489"/>
    </row>
    <row r="6" spans="1:34" ht="28.9" thickBot="1">
      <c r="A6" s="146" t="s">
        <v>16</v>
      </c>
      <c r="B6" s="627" t="s">
        <v>13</v>
      </c>
      <c r="C6" s="624"/>
      <c r="D6" s="624"/>
      <c r="E6" s="220" t="s">
        <v>13</v>
      </c>
      <c r="F6" s="220" t="s">
        <v>13</v>
      </c>
      <c r="G6" s="220" t="s">
        <v>13</v>
      </c>
      <c r="H6" s="382" t="s">
        <v>13</v>
      </c>
      <c r="I6" s="220" t="s">
        <v>13</v>
      </c>
      <c r="J6" s="122"/>
      <c r="K6" s="122"/>
      <c r="L6" s="624" t="s">
        <v>13</v>
      </c>
      <c r="M6" s="628" t="s">
        <v>13</v>
      </c>
      <c r="N6" s="624" t="s">
        <v>13</v>
      </c>
      <c r="O6" s="624" t="s">
        <v>13</v>
      </c>
      <c r="P6" s="624" t="s">
        <v>13</v>
      </c>
      <c r="Q6" s="624"/>
      <c r="R6" s="624"/>
      <c r="S6" s="220" t="s">
        <v>13</v>
      </c>
      <c r="T6" s="220" t="s">
        <v>13</v>
      </c>
      <c r="U6" s="220" t="s">
        <v>13</v>
      </c>
      <c r="V6" s="382" t="s">
        <v>13</v>
      </c>
      <c r="W6" s="220" t="s">
        <v>13</v>
      </c>
      <c r="X6" s="122"/>
      <c r="Y6" s="122"/>
      <c r="Z6" s="624" t="s">
        <v>13</v>
      </c>
      <c r="AA6" s="628" t="s">
        <v>13</v>
      </c>
      <c r="AB6" s="624" t="s">
        <v>13</v>
      </c>
      <c r="AC6" s="624" t="s">
        <v>13</v>
      </c>
      <c r="AD6" s="624" t="s">
        <v>13</v>
      </c>
      <c r="AE6" s="624"/>
      <c r="AF6" s="624"/>
      <c r="AG6" s="215">
        <f t="shared" si="0"/>
        <v>0</v>
      </c>
      <c r="AH6" s="490"/>
    </row>
    <row r="7" spans="1:34" ht="28.9" thickBot="1">
      <c r="A7" s="146" t="s">
        <v>19</v>
      </c>
      <c r="B7" s="223">
        <v>7.5</v>
      </c>
      <c r="C7" s="103"/>
      <c r="D7" s="103"/>
      <c r="E7" s="224">
        <v>7.5</v>
      </c>
      <c r="F7" s="224">
        <v>7.5</v>
      </c>
      <c r="G7" s="224">
        <v>7.5</v>
      </c>
      <c r="H7" s="372">
        <v>7.5</v>
      </c>
      <c r="I7" s="224">
        <v>7.5</v>
      </c>
      <c r="J7" s="103"/>
      <c r="K7" s="103"/>
      <c r="L7" s="224">
        <v>7.5</v>
      </c>
      <c r="M7" s="224">
        <v>7.5</v>
      </c>
      <c r="N7" s="224">
        <v>7.5</v>
      </c>
      <c r="O7" s="224">
        <v>7.5</v>
      </c>
      <c r="P7" s="224">
        <v>7.5</v>
      </c>
      <c r="Q7" s="103"/>
      <c r="R7" s="103"/>
      <c r="S7" s="224">
        <v>7.5</v>
      </c>
      <c r="T7" s="224">
        <v>7.5</v>
      </c>
      <c r="U7" s="224">
        <v>7.5</v>
      </c>
      <c r="V7" s="372">
        <v>7.5</v>
      </c>
      <c r="W7" s="224">
        <v>7.5</v>
      </c>
      <c r="X7" s="103"/>
      <c r="Y7" s="103"/>
      <c r="Z7" s="224">
        <v>7.5</v>
      </c>
      <c r="AA7" s="224">
        <v>7.5</v>
      </c>
      <c r="AB7" s="224">
        <v>7.5</v>
      </c>
      <c r="AC7" s="224">
        <v>7.5</v>
      </c>
      <c r="AD7" s="224">
        <v>7.5</v>
      </c>
      <c r="AE7" s="103"/>
      <c r="AF7" s="103"/>
      <c r="AG7" s="496">
        <f t="shared" si="0"/>
        <v>157.5</v>
      </c>
      <c r="AH7" s="491">
        <f>SUM(AG7-AG61)</f>
        <v>-8</v>
      </c>
    </row>
    <row r="8" spans="1:34" ht="28.9" thickBot="1">
      <c r="A8" s="368" t="s">
        <v>20</v>
      </c>
      <c r="B8" s="631"/>
      <c r="C8" s="634"/>
      <c r="D8" s="634"/>
      <c r="E8" s="642"/>
      <c r="F8" s="632"/>
      <c r="G8" s="632"/>
      <c r="H8" s="635"/>
      <c r="I8" s="632"/>
      <c r="J8" s="634"/>
      <c r="K8" s="637"/>
      <c r="L8" s="632"/>
      <c r="M8" s="636"/>
      <c r="N8" s="632"/>
      <c r="O8" s="636"/>
      <c r="P8" s="632"/>
      <c r="Q8" s="637"/>
      <c r="R8" s="634"/>
      <c r="S8" s="632"/>
      <c r="T8" s="636"/>
      <c r="U8" s="632"/>
      <c r="V8" s="638"/>
      <c r="W8" s="632"/>
      <c r="X8" s="637"/>
      <c r="Y8" s="634"/>
      <c r="Z8" s="643"/>
      <c r="AA8" s="643"/>
      <c r="AB8" s="632"/>
      <c r="AC8" s="636"/>
      <c r="AD8" s="632"/>
      <c r="AE8" s="634"/>
      <c r="AF8" s="644"/>
      <c r="AG8" s="497">
        <f t="shared" si="0"/>
        <v>0</v>
      </c>
      <c r="AH8" s="492"/>
    </row>
    <row r="9" spans="1:34" ht="28.9" thickBot="1">
      <c r="A9" s="146" t="s">
        <v>21</v>
      </c>
      <c r="B9" s="223"/>
      <c r="C9" s="103"/>
      <c r="D9" s="103"/>
      <c r="E9" s="248"/>
      <c r="F9" s="246" t="s">
        <v>18</v>
      </c>
      <c r="G9" s="224" t="s">
        <v>18</v>
      </c>
      <c r="H9" s="372"/>
      <c r="I9" s="224"/>
      <c r="J9" s="103"/>
      <c r="K9" s="103"/>
      <c r="L9" s="297" t="s">
        <v>18</v>
      </c>
      <c r="M9" s="247" t="s">
        <v>18</v>
      </c>
      <c r="N9" s="224"/>
      <c r="O9" s="224"/>
      <c r="P9" s="246"/>
      <c r="Q9" s="107"/>
      <c r="R9" s="108" t="s">
        <v>18</v>
      </c>
      <c r="S9" s="246" t="s">
        <v>18</v>
      </c>
      <c r="T9" s="248"/>
      <c r="U9" s="246"/>
      <c r="V9" s="376"/>
      <c r="W9" s="248"/>
      <c r="X9" s="109" t="s">
        <v>18</v>
      </c>
      <c r="Y9" s="108" t="s">
        <v>18</v>
      </c>
      <c r="Z9" s="248"/>
      <c r="AA9" s="246"/>
      <c r="AB9" s="246"/>
      <c r="AC9" s="248"/>
      <c r="AD9" s="248" t="s">
        <v>18</v>
      </c>
      <c r="AE9" s="107" t="s">
        <v>18</v>
      </c>
      <c r="AF9" s="107"/>
      <c r="AG9" s="215">
        <f t="shared" si="0"/>
        <v>0</v>
      </c>
      <c r="AH9" s="493"/>
    </row>
    <row r="10" spans="1:34" ht="28.9" thickBot="1">
      <c r="A10" s="146" t="s">
        <v>22</v>
      </c>
      <c r="B10" s="255"/>
      <c r="C10" s="108"/>
      <c r="D10" s="108"/>
      <c r="E10" s="248"/>
      <c r="F10" s="246">
        <v>15</v>
      </c>
      <c r="G10" s="246">
        <v>15</v>
      </c>
      <c r="H10" s="375">
        <v>5.5</v>
      </c>
      <c r="I10" s="246"/>
      <c r="J10" s="108"/>
      <c r="K10" s="107"/>
      <c r="L10" s="246">
        <v>15</v>
      </c>
      <c r="M10" s="247">
        <v>15</v>
      </c>
      <c r="N10" s="246">
        <v>0.5</v>
      </c>
      <c r="O10" s="246"/>
      <c r="P10" s="246"/>
      <c r="Q10" s="107"/>
      <c r="R10" s="108">
        <v>15</v>
      </c>
      <c r="S10" s="246">
        <v>15</v>
      </c>
      <c r="T10" s="248">
        <v>0.5</v>
      </c>
      <c r="U10" s="246"/>
      <c r="V10" s="376">
        <v>5</v>
      </c>
      <c r="W10" s="248"/>
      <c r="X10" s="108">
        <v>15</v>
      </c>
      <c r="Y10" s="108">
        <v>15</v>
      </c>
      <c r="Z10" s="248">
        <v>0.5</v>
      </c>
      <c r="AA10" s="247"/>
      <c r="AB10" s="246"/>
      <c r="AC10" s="248"/>
      <c r="AD10" s="248">
        <v>15</v>
      </c>
      <c r="AE10" s="107">
        <v>15</v>
      </c>
      <c r="AF10" s="107">
        <v>0.5</v>
      </c>
      <c r="AG10" s="496">
        <f t="shared" si="0"/>
        <v>162.5</v>
      </c>
      <c r="AH10" s="491">
        <f>SUM(AG10-AG61)</f>
        <v>-3</v>
      </c>
    </row>
    <row r="11" spans="1:34" ht="28.9" thickBot="1">
      <c r="A11" s="368" t="s">
        <v>23</v>
      </c>
      <c r="B11" s="226"/>
      <c r="C11" s="133"/>
      <c r="D11" s="133"/>
      <c r="E11" s="228"/>
      <c r="F11" s="227">
        <v>1</v>
      </c>
      <c r="G11" s="227">
        <v>1</v>
      </c>
      <c r="H11" s="373"/>
      <c r="I11" s="227"/>
      <c r="J11" s="133"/>
      <c r="K11" s="134"/>
      <c r="L11" s="227">
        <v>1</v>
      </c>
      <c r="M11" s="229">
        <v>1</v>
      </c>
      <c r="N11" s="227"/>
      <c r="O11" s="227"/>
      <c r="P11" s="228"/>
      <c r="Q11" s="134"/>
      <c r="R11" s="133">
        <v>1</v>
      </c>
      <c r="S11" s="227">
        <v>1</v>
      </c>
      <c r="T11" s="229"/>
      <c r="U11" s="227"/>
      <c r="V11" s="380"/>
      <c r="W11" s="227"/>
      <c r="X11" s="134">
        <v>1</v>
      </c>
      <c r="Y11" s="133">
        <v>1</v>
      </c>
      <c r="Z11" s="229"/>
      <c r="AA11" s="230"/>
      <c r="AB11" s="227"/>
      <c r="AC11" s="229"/>
      <c r="AD11" s="227">
        <v>1</v>
      </c>
      <c r="AE11" s="133">
        <v>1</v>
      </c>
      <c r="AF11" s="133"/>
      <c r="AG11" s="497">
        <f t="shared" si="0"/>
        <v>10</v>
      </c>
      <c r="AH11" s="494"/>
    </row>
    <row r="12" spans="1:34" ht="28.9" hidden="1" thickBot="1">
      <c r="A12" s="146"/>
      <c r="B12" s="218"/>
      <c r="C12" s="114"/>
      <c r="D12" s="122"/>
      <c r="E12" s="423"/>
      <c r="F12" s="220"/>
      <c r="G12" s="220"/>
      <c r="H12" s="382"/>
      <c r="I12" s="220"/>
      <c r="J12" s="122"/>
      <c r="K12" s="424"/>
      <c r="L12" s="222"/>
      <c r="M12" s="256"/>
      <c r="N12" s="219"/>
      <c r="O12" s="219"/>
      <c r="P12" s="222"/>
      <c r="Q12" s="111"/>
      <c r="R12" s="105"/>
      <c r="S12" s="222"/>
      <c r="T12" s="253"/>
      <c r="U12" s="222"/>
      <c r="V12" s="379"/>
      <c r="W12" s="253"/>
      <c r="X12" s="105"/>
      <c r="Y12" s="105"/>
      <c r="Z12" s="253"/>
      <c r="AA12" s="256"/>
      <c r="AB12" s="222"/>
      <c r="AC12" s="253"/>
      <c r="AD12" s="253"/>
      <c r="AE12" s="111"/>
      <c r="AF12" s="111"/>
      <c r="AG12" s="215">
        <f t="shared" si="0"/>
        <v>0</v>
      </c>
      <c r="AH12" s="490"/>
    </row>
    <row r="13" spans="1:34" ht="28.9" hidden="1" thickBot="1">
      <c r="A13" s="146"/>
      <c r="B13" s="255"/>
      <c r="C13" s="108"/>
      <c r="D13" s="117"/>
      <c r="E13" s="300"/>
      <c r="F13" s="246"/>
      <c r="G13" s="246"/>
      <c r="H13" s="375"/>
      <c r="I13" s="246"/>
      <c r="J13" s="117"/>
      <c r="K13" s="116"/>
      <c r="L13" s="246"/>
      <c r="M13" s="247"/>
      <c r="N13" s="246"/>
      <c r="O13" s="246"/>
      <c r="P13" s="246"/>
      <c r="Q13" s="107"/>
      <c r="R13" s="108"/>
      <c r="S13" s="246"/>
      <c r="T13" s="248"/>
      <c r="U13" s="246"/>
      <c r="V13" s="376"/>
      <c r="W13" s="248"/>
      <c r="X13" s="108"/>
      <c r="Y13" s="108"/>
      <c r="Z13" s="248"/>
      <c r="AA13" s="247"/>
      <c r="AB13" s="246"/>
      <c r="AC13" s="248"/>
      <c r="AD13" s="248"/>
      <c r="AE13" s="107"/>
      <c r="AF13" s="107"/>
      <c r="AG13" s="496">
        <f t="shared" si="0"/>
        <v>0</v>
      </c>
      <c r="AH13" s="491">
        <f>SUM(AG13-AG58)</f>
        <v>0</v>
      </c>
    </row>
    <row r="14" spans="1:34" ht="28.9" hidden="1" thickBot="1">
      <c r="A14" s="368"/>
      <c r="B14" s="226"/>
      <c r="C14" s="133"/>
      <c r="D14" s="133"/>
      <c r="E14" s="228"/>
      <c r="F14" s="227"/>
      <c r="G14" s="227"/>
      <c r="H14" s="373"/>
      <c r="I14" s="227"/>
      <c r="J14" s="133"/>
      <c r="K14" s="134"/>
      <c r="L14" s="227"/>
      <c r="M14" s="229"/>
      <c r="N14" s="227"/>
      <c r="O14" s="227"/>
      <c r="P14" s="228"/>
      <c r="Q14" s="134"/>
      <c r="R14" s="133"/>
      <c r="S14" s="227"/>
      <c r="T14" s="229"/>
      <c r="U14" s="227"/>
      <c r="V14" s="380"/>
      <c r="W14" s="227"/>
      <c r="X14" s="134"/>
      <c r="Y14" s="133"/>
      <c r="Z14" s="229"/>
      <c r="AA14" s="230"/>
      <c r="AB14" s="227"/>
      <c r="AC14" s="229"/>
      <c r="AD14" s="227"/>
      <c r="AE14" s="133"/>
      <c r="AF14" s="133"/>
      <c r="AG14" s="497">
        <f t="shared" si="0"/>
        <v>0</v>
      </c>
      <c r="AH14" s="494"/>
    </row>
    <row r="15" spans="1:34" ht="28.9" thickBot="1">
      <c r="A15" s="146" t="s">
        <v>24</v>
      </c>
      <c r="B15" s="249"/>
      <c r="C15" s="102"/>
      <c r="D15" s="122" t="s">
        <v>18</v>
      </c>
      <c r="E15" s="423" t="s">
        <v>18</v>
      </c>
      <c r="F15" s="220"/>
      <c r="G15" s="220"/>
      <c r="H15" s="382"/>
      <c r="I15" s="220"/>
      <c r="J15" s="122" t="s">
        <v>18</v>
      </c>
      <c r="K15" s="122" t="s">
        <v>18</v>
      </c>
      <c r="L15" s="222"/>
      <c r="M15" s="256"/>
      <c r="N15" s="219"/>
      <c r="O15" s="219"/>
      <c r="P15" s="222" t="s">
        <v>18</v>
      </c>
      <c r="Q15" s="111" t="s">
        <v>18</v>
      </c>
      <c r="R15" s="105"/>
      <c r="S15" s="222"/>
      <c r="T15" s="253"/>
      <c r="U15" s="222"/>
      <c r="V15" s="379" t="s">
        <v>18</v>
      </c>
      <c r="W15" s="253" t="s">
        <v>18</v>
      </c>
      <c r="X15" s="105"/>
      <c r="Y15" s="105"/>
      <c r="Z15" s="253"/>
      <c r="AA15" s="256"/>
      <c r="AB15" s="222" t="s">
        <v>18</v>
      </c>
      <c r="AC15" s="253" t="s">
        <v>18</v>
      </c>
      <c r="AD15" s="253"/>
      <c r="AE15" s="111"/>
      <c r="AF15" s="111"/>
      <c r="AG15" s="215">
        <f t="shared" si="0"/>
        <v>0</v>
      </c>
      <c r="AH15" s="490"/>
    </row>
    <row r="16" spans="1:34" ht="28.9" thickBot="1">
      <c r="A16" s="146" t="s">
        <v>25</v>
      </c>
      <c r="B16" s="255"/>
      <c r="C16" s="107"/>
      <c r="D16" s="117">
        <v>15</v>
      </c>
      <c r="E16" s="300">
        <v>15</v>
      </c>
      <c r="F16" s="246">
        <v>0.5</v>
      </c>
      <c r="G16" s="246"/>
      <c r="H16" s="375">
        <v>5</v>
      </c>
      <c r="I16" s="246"/>
      <c r="J16" s="117">
        <v>15</v>
      </c>
      <c r="K16" s="116">
        <v>15</v>
      </c>
      <c r="L16" s="246">
        <v>0.5</v>
      </c>
      <c r="M16" s="247"/>
      <c r="N16" s="246"/>
      <c r="O16" s="246"/>
      <c r="P16" s="246">
        <v>15</v>
      </c>
      <c r="Q16" s="107">
        <v>15</v>
      </c>
      <c r="R16" s="108">
        <v>0.5</v>
      </c>
      <c r="S16" s="246"/>
      <c r="T16" s="248"/>
      <c r="U16" s="246"/>
      <c r="V16" s="376">
        <v>15</v>
      </c>
      <c r="W16" s="248">
        <v>15</v>
      </c>
      <c r="X16" s="108">
        <v>0.5</v>
      </c>
      <c r="Y16" s="108"/>
      <c r="Z16" s="248"/>
      <c r="AA16" s="247"/>
      <c r="AB16" s="246">
        <v>15</v>
      </c>
      <c r="AC16" s="248">
        <v>15</v>
      </c>
      <c r="AD16" s="248">
        <v>0.5</v>
      </c>
      <c r="AE16" s="107"/>
      <c r="AF16" s="107"/>
      <c r="AG16" s="496">
        <f t="shared" si="0"/>
        <v>157.5</v>
      </c>
      <c r="AH16" s="491">
        <f>SUM(AG16-AG61)</f>
        <v>-8</v>
      </c>
    </row>
    <row r="17" spans="1:34" ht="28.9" thickBot="1">
      <c r="A17" s="368" t="s">
        <v>23</v>
      </c>
      <c r="B17" s="303"/>
      <c r="C17" s="177"/>
      <c r="D17" s="133">
        <v>1</v>
      </c>
      <c r="E17" s="228">
        <v>1</v>
      </c>
      <c r="F17" s="227"/>
      <c r="G17" s="227"/>
      <c r="H17" s="373"/>
      <c r="I17" s="227"/>
      <c r="J17" s="133">
        <v>1</v>
      </c>
      <c r="K17" s="134">
        <v>1</v>
      </c>
      <c r="L17" s="227"/>
      <c r="M17" s="229"/>
      <c r="N17" s="227"/>
      <c r="O17" s="227"/>
      <c r="P17" s="228">
        <v>1</v>
      </c>
      <c r="Q17" s="134">
        <v>1</v>
      </c>
      <c r="R17" s="133"/>
      <c r="S17" s="227"/>
      <c r="T17" s="229"/>
      <c r="U17" s="227"/>
      <c r="V17" s="380">
        <v>1</v>
      </c>
      <c r="W17" s="227">
        <v>1</v>
      </c>
      <c r="X17" s="134"/>
      <c r="Y17" s="133"/>
      <c r="Z17" s="229"/>
      <c r="AA17" s="230"/>
      <c r="AB17" s="227">
        <v>1</v>
      </c>
      <c r="AC17" s="229">
        <v>1</v>
      </c>
      <c r="AD17" s="227"/>
      <c r="AE17" s="133"/>
      <c r="AF17" s="133"/>
      <c r="AG17" s="497">
        <f t="shared" si="0"/>
        <v>10</v>
      </c>
      <c r="AH17" s="494"/>
    </row>
    <row r="18" spans="1:34" ht="28.9" thickBot="1">
      <c r="A18" s="173" t="s">
        <v>26</v>
      </c>
      <c r="B18" s="218" t="s">
        <v>18</v>
      </c>
      <c r="C18" s="114" t="s">
        <v>18</v>
      </c>
      <c r="D18" s="114"/>
      <c r="E18" s="295"/>
      <c r="F18" s="219"/>
      <c r="G18" s="219"/>
      <c r="H18" s="371" t="s">
        <v>18</v>
      </c>
      <c r="I18" s="219" t="s">
        <v>18</v>
      </c>
      <c r="J18" s="114"/>
      <c r="K18" s="105"/>
      <c r="L18" s="222"/>
      <c r="M18" s="256"/>
      <c r="N18" s="222" t="s">
        <v>18</v>
      </c>
      <c r="O18" s="222" t="s">
        <v>18</v>
      </c>
      <c r="P18" s="253"/>
      <c r="Q18" s="105"/>
      <c r="R18" s="105"/>
      <c r="S18" s="219"/>
      <c r="T18" s="296" t="s">
        <v>18</v>
      </c>
      <c r="U18" s="219" t="s">
        <v>18</v>
      </c>
      <c r="V18" s="371"/>
      <c r="W18" s="295"/>
      <c r="X18" s="118"/>
      <c r="Y18" s="114"/>
      <c r="Z18" s="296" t="s">
        <v>18</v>
      </c>
      <c r="AA18" s="219" t="s">
        <v>18</v>
      </c>
      <c r="AB18" s="219"/>
      <c r="AC18" s="296"/>
      <c r="AD18" s="219"/>
      <c r="AE18" s="130"/>
      <c r="AF18" s="130" t="s">
        <v>18</v>
      </c>
      <c r="AG18" s="215">
        <f t="shared" si="0"/>
        <v>0</v>
      </c>
      <c r="AH18" s="490"/>
    </row>
    <row r="19" spans="1:34" ht="28.9" thickBot="1">
      <c r="A19" s="146" t="s">
        <v>27</v>
      </c>
      <c r="B19" s="223">
        <v>15</v>
      </c>
      <c r="C19" s="103">
        <v>15</v>
      </c>
      <c r="D19" s="103">
        <v>0.5</v>
      </c>
      <c r="E19" s="294"/>
      <c r="F19" s="224"/>
      <c r="G19" s="224"/>
      <c r="H19" s="372">
        <v>15</v>
      </c>
      <c r="I19" s="224">
        <v>15</v>
      </c>
      <c r="J19" s="103">
        <v>0.5</v>
      </c>
      <c r="K19" s="103"/>
      <c r="L19" s="224"/>
      <c r="M19" s="224"/>
      <c r="N19" s="224">
        <v>15</v>
      </c>
      <c r="O19" s="224">
        <v>15</v>
      </c>
      <c r="P19" s="224">
        <v>0.5</v>
      </c>
      <c r="Q19" s="103"/>
      <c r="R19" s="103"/>
      <c r="S19" s="224"/>
      <c r="T19" s="224">
        <v>15</v>
      </c>
      <c r="U19" s="224">
        <v>15</v>
      </c>
      <c r="V19" s="372">
        <v>5.5</v>
      </c>
      <c r="W19" s="224"/>
      <c r="X19" s="103"/>
      <c r="Y19" s="103"/>
      <c r="Z19" s="224">
        <v>15</v>
      </c>
      <c r="AA19" s="224">
        <v>15</v>
      </c>
      <c r="AB19" s="224">
        <v>0.5</v>
      </c>
      <c r="AC19" s="224"/>
      <c r="AD19" s="224"/>
      <c r="AE19" s="103"/>
      <c r="AF19" s="115">
        <v>15</v>
      </c>
      <c r="AG19" s="496">
        <f t="shared" si="0"/>
        <v>172.5</v>
      </c>
      <c r="AH19" s="491">
        <f>SUM(AG19-AG61)</f>
        <v>7</v>
      </c>
    </row>
    <row r="20" spans="1:34" ht="25.9" customHeight="1" thickBot="1">
      <c r="A20" s="187" t="s">
        <v>28</v>
      </c>
      <c r="B20" s="226">
        <v>1</v>
      </c>
      <c r="C20" s="133">
        <v>1</v>
      </c>
      <c r="D20" s="133"/>
      <c r="E20" s="228"/>
      <c r="F20" s="227"/>
      <c r="G20" s="227"/>
      <c r="H20" s="373">
        <v>1</v>
      </c>
      <c r="I20" s="227">
        <v>1</v>
      </c>
      <c r="J20" s="133"/>
      <c r="K20" s="134"/>
      <c r="L20" s="227"/>
      <c r="M20" s="229"/>
      <c r="N20" s="227">
        <v>1</v>
      </c>
      <c r="O20" s="229">
        <v>1</v>
      </c>
      <c r="P20" s="227"/>
      <c r="Q20" s="134"/>
      <c r="R20" s="133"/>
      <c r="S20" s="227"/>
      <c r="T20" s="229">
        <v>1</v>
      </c>
      <c r="U20" s="227">
        <v>1</v>
      </c>
      <c r="V20" s="373"/>
      <c r="W20" s="228"/>
      <c r="X20" s="134"/>
      <c r="Y20" s="133"/>
      <c r="Z20" s="229">
        <v>1</v>
      </c>
      <c r="AA20" s="227">
        <v>1</v>
      </c>
      <c r="AB20" s="227"/>
      <c r="AC20" s="229"/>
      <c r="AD20" s="227"/>
      <c r="AE20" s="135"/>
      <c r="AF20" s="135">
        <v>1</v>
      </c>
      <c r="AG20" s="497">
        <f t="shared" si="0"/>
        <v>11</v>
      </c>
      <c r="AH20" s="494"/>
    </row>
    <row r="21" spans="1:34" ht="28.9" thickBot="1">
      <c r="A21" s="146" t="s">
        <v>29</v>
      </c>
      <c r="B21" s="249" t="s">
        <v>18</v>
      </c>
      <c r="C21" s="102"/>
      <c r="D21" s="102"/>
      <c r="E21" s="222"/>
      <c r="F21" s="253"/>
      <c r="G21" s="251" t="s">
        <v>18</v>
      </c>
      <c r="H21" s="399" t="s">
        <v>18</v>
      </c>
      <c r="I21" s="251"/>
      <c r="J21" s="102"/>
      <c r="K21" s="102"/>
      <c r="L21" s="253"/>
      <c r="M21" s="256" t="s">
        <v>18</v>
      </c>
      <c r="N21" s="251" t="s">
        <v>18</v>
      </c>
      <c r="O21" s="251"/>
      <c r="P21" s="222"/>
      <c r="Q21" s="105"/>
      <c r="R21" s="111"/>
      <c r="S21" s="222" t="s">
        <v>18</v>
      </c>
      <c r="T21" s="222" t="s">
        <v>18</v>
      </c>
      <c r="U21" s="222"/>
      <c r="V21" s="379"/>
      <c r="W21" s="222"/>
      <c r="X21" s="111"/>
      <c r="Y21" s="105" t="s">
        <v>18</v>
      </c>
      <c r="Z21" s="256" t="s">
        <v>18</v>
      </c>
      <c r="AA21" s="256"/>
      <c r="AB21" s="222"/>
      <c r="AC21" s="222"/>
      <c r="AD21" s="222"/>
      <c r="AE21" s="111" t="s">
        <v>18</v>
      </c>
      <c r="AF21" s="111" t="s">
        <v>18</v>
      </c>
      <c r="AG21" s="215">
        <f t="shared" si="0"/>
        <v>0</v>
      </c>
      <c r="AH21" s="490"/>
    </row>
    <row r="22" spans="1:34" ht="28.9" thickBot="1">
      <c r="A22" s="146" t="s">
        <v>30</v>
      </c>
      <c r="B22" s="255">
        <v>15</v>
      </c>
      <c r="C22" s="108">
        <v>0.5</v>
      </c>
      <c r="D22" s="108"/>
      <c r="E22" s="246"/>
      <c r="F22" s="248"/>
      <c r="G22" s="246">
        <v>15</v>
      </c>
      <c r="H22" s="376">
        <v>15</v>
      </c>
      <c r="I22" s="248">
        <v>0.5</v>
      </c>
      <c r="J22" s="108"/>
      <c r="K22" s="108"/>
      <c r="L22" s="248"/>
      <c r="M22" s="247">
        <v>15</v>
      </c>
      <c r="N22" s="246">
        <v>15</v>
      </c>
      <c r="O22" s="248">
        <v>0.5</v>
      </c>
      <c r="P22" s="246"/>
      <c r="Q22" s="108"/>
      <c r="R22" s="107"/>
      <c r="S22" s="246">
        <v>15</v>
      </c>
      <c r="T22" s="246">
        <v>15</v>
      </c>
      <c r="U22" s="246">
        <v>0.5</v>
      </c>
      <c r="V22" s="376">
        <v>4</v>
      </c>
      <c r="W22" s="246"/>
      <c r="X22" s="107"/>
      <c r="Y22" s="108">
        <v>15</v>
      </c>
      <c r="Z22" s="247">
        <v>15</v>
      </c>
      <c r="AA22" s="247">
        <v>0.5</v>
      </c>
      <c r="AB22" s="246"/>
      <c r="AC22" s="246"/>
      <c r="AD22" s="246"/>
      <c r="AE22" s="107">
        <v>15</v>
      </c>
      <c r="AF22" s="107">
        <v>15</v>
      </c>
      <c r="AG22" s="496">
        <f t="shared" si="0"/>
        <v>171.5</v>
      </c>
      <c r="AH22" s="491">
        <f>SUM(AG22-AG61)</f>
        <v>6</v>
      </c>
    </row>
    <row r="23" spans="1:34" ht="25.9" customHeight="1" thickBot="1">
      <c r="A23" s="368" t="s">
        <v>28</v>
      </c>
      <c r="B23" s="226">
        <v>1</v>
      </c>
      <c r="C23" s="133"/>
      <c r="D23" s="133"/>
      <c r="E23" s="227"/>
      <c r="F23" s="227"/>
      <c r="G23" s="227">
        <v>1</v>
      </c>
      <c r="H23" s="373">
        <v>1</v>
      </c>
      <c r="I23" s="227"/>
      <c r="J23" s="133"/>
      <c r="K23" s="133"/>
      <c r="L23" s="227"/>
      <c r="M23" s="230">
        <v>1</v>
      </c>
      <c r="N23" s="227">
        <v>1</v>
      </c>
      <c r="O23" s="227"/>
      <c r="P23" s="227"/>
      <c r="Q23" s="135"/>
      <c r="R23" s="133"/>
      <c r="S23" s="227">
        <v>1</v>
      </c>
      <c r="T23" s="227">
        <v>1</v>
      </c>
      <c r="U23" s="227"/>
      <c r="V23" s="373"/>
      <c r="W23" s="227"/>
      <c r="X23" s="134"/>
      <c r="Y23" s="133">
        <v>1</v>
      </c>
      <c r="Z23" s="227">
        <v>1</v>
      </c>
      <c r="AA23" s="230"/>
      <c r="AB23" s="227"/>
      <c r="AC23" s="227"/>
      <c r="AD23" s="227"/>
      <c r="AE23" s="133">
        <v>1</v>
      </c>
      <c r="AF23" s="133">
        <v>1</v>
      </c>
      <c r="AG23" s="497">
        <f t="shared" si="0"/>
        <v>11</v>
      </c>
      <c r="AH23" s="494"/>
    </row>
    <row r="24" spans="1:34" ht="29.45" hidden="1" thickBot="1">
      <c r="A24" s="146"/>
      <c r="B24" s="266"/>
      <c r="C24" s="105"/>
      <c r="D24" s="105"/>
      <c r="E24" s="253"/>
      <c r="F24" s="222"/>
      <c r="G24" s="222"/>
      <c r="H24" s="379"/>
      <c r="I24" s="222"/>
      <c r="J24" s="105"/>
      <c r="K24" s="105"/>
      <c r="L24" s="222"/>
      <c r="M24" s="256"/>
      <c r="N24" s="222"/>
      <c r="O24" s="254"/>
      <c r="P24" s="222"/>
      <c r="Q24" s="105"/>
      <c r="R24" s="111"/>
      <c r="S24" s="222"/>
      <c r="T24" s="254"/>
      <c r="U24" s="222"/>
      <c r="V24" s="383"/>
      <c r="W24" s="222"/>
      <c r="X24" s="112"/>
      <c r="Y24" s="105"/>
      <c r="Z24" s="256"/>
      <c r="AA24" s="246"/>
      <c r="AB24" s="468"/>
      <c r="AC24" s="467"/>
      <c r="AD24" s="222"/>
      <c r="AE24" s="105"/>
      <c r="AF24" s="105"/>
      <c r="AG24" s="215">
        <f t="shared" si="0"/>
        <v>0</v>
      </c>
      <c r="AH24" s="490"/>
    </row>
    <row r="25" spans="1:34" ht="28.9" hidden="1" thickBot="1">
      <c r="A25" s="146"/>
      <c r="B25" s="223"/>
      <c r="C25" s="103"/>
      <c r="D25" s="103"/>
      <c r="E25" s="246"/>
      <c r="F25" s="246"/>
      <c r="G25" s="224"/>
      <c r="H25" s="372"/>
      <c r="I25" s="224"/>
      <c r="J25" s="103"/>
      <c r="K25" s="145"/>
      <c r="L25" s="246"/>
      <c r="M25" s="247"/>
      <c r="N25" s="224"/>
      <c r="O25" s="225"/>
      <c r="P25" s="224"/>
      <c r="Q25" s="103"/>
      <c r="R25" s="145"/>
      <c r="S25" s="246"/>
      <c r="T25" s="246"/>
      <c r="U25" s="224"/>
      <c r="V25" s="372"/>
      <c r="W25" s="294"/>
      <c r="X25" s="145"/>
      <c r="Y25" s="103"/>
      <c r="Z25" s="247"/>
      <c r="AA25" s="246"/>
      <c r="AB25" s="468"/>
      <c r="AC25" s="294"/>
      <c r="AD25" s="257"/>
      <c r="AE25" s="103"/>
      <c r="AF25" s="115"/>
      <c r="AG25" s="496">
        <f t="shared" si="0"/>
        <v>0</v>
      </c>
      <c r="AH25" s="491">
        <f>SUM(AG25-AG61)</f>
        <v>-165.5</v>
      </c>
    </row>
    <row r="26" spans="1:34" ht="28.9" hidden="1" thickBot="1">
      <c r="A26" s="368"/>
      <c r="B26" s="303"/>
      <c r="C26" s="177"/>
      <c r="D26" s="177"/>
      <c r="E26" s="305"/>
      <c r="F26" s="304"/>
      <c r="G26" s="304"/>
      <c r="H26" s="398"/>
      <c r="I26" s="304"/>
      <c r="J26" s="177"/>
      <c r="K26" s="177"/>
      <c r="L26" s="304"/>
      <c r="M26" s="307"/>
      <c r="N26" s="304"/>
      <c r="O26" s="307"/>
      <c r="P26" s="304"/>
      <c r="Q26" s="177"/>
      <c r="R26" s="178"/>
      <c r="S26" s="304"/>
      <c r="T26" s="305"/>
      <c r="U26" s="304"/>
      <c r="V26" s="398"/>
      <c r="W26" s="305"/>
      <c r="X26" s="177"/>
      <c r="Y26" s="177"/>
      <c r="Z26" s="307"/>
      <c r="AA26" s="304"/>
      <c r="AB26" s="469"/>
      <c r="AC26" s="304"/>
      <c r="AD26" s="304"/>
      <c r="AE26" s="177"/>
      <c r="AF26" s="177"/>
      <c r="AG26" s="497">
        <f t="shared" si="0"/>
        <v>0</v>
      </c>
      <c r="AH26" s="494"/>
    </row>
    <row r="27" spans="1:34" ht="28.9" thickBot="1">
      <c r="A27" s="465" t="s">
        <v>31</v>
      </c>
      <c r="B27" s="255"/>
      <c r="C27" s="108"/>
      <c r="D27" s="108"/>
      <c r="E27" s="246" t="s">
        <v>18</v>
      </c>
      <c r="F27" s="253" t="s">
        <v>18</v>
      </c>
      <c r="G27" s="222"/>
      <c r="H27" s="379"/>
      <c r="I27" s="246"/>
      <c r="J27" s="108"/>
      <c r="K27" s="108" t="s">
        <v>18</v>
      </c>
      <c r="L27" s="253" t="s">
        <v>18</v>
      </c>
      <c r="M27" s="222"/>
      <c r="N27" s="222"/>
      <c r="O27" s="246"/>
      <c r="P27" s="246" t="s">
        <v>18</v>
      </c>
      <c r="Q27" s="108" t="s">
        <v>18</v>
      </c>
      <c r="R27" s="111"/>
      <c r="S27" s="222"/>
      <c r="T27" s="222"/>
      <c r="U27" s="246"/>
      <c r="V27" s="376"/>
      <c r="W27" s="224" t="s">
        <v>18</v>
      </c>
      <c r="X27" s="111" t="s">
        <v>18</v>
      </c>
      <c r="Y27" s="105"/>
      <c r="Z27" s="222"/>
      <c r="AA27" s="247"/>
      <c r="AB27" s="246"/>
      <c r="AC27" s="614" t="s">
        <v>18</v>
      </c>
      <c r="AD27" s="253" t="s">
        <v>18</v>
      </c>
      <c r="AE27" s="105"/>
      <c r="AF27" s="105"/>
      <c r="AG27" s="215">
        <f>SUM(B27:AF27)</f>
        <v>0</v>
      </c>
      <c r="AH27" s="490"/>
    </row>
    <row r="28" spans="1:34" ht="28.9" thickBot="1">
      <c r="A28" s="146" t="s">
        <v>33</v>
      </c>
      <c r="B28" s="255"/>
      <c r="C28" s="108"/>
      <c r="D28" s="108"/>
      <c r="E28" s="248">
        <v>15</v>
      </c>
      <c r="F28" s="246">
        <v>15</v>
      </c>
      <c r="G28" s="246">
        <v>0.5</v>
      </c>
      <c r="H28" s="372">
        <v>4</v>
      </c>
      <c r="I28" s="246"/>
      <c r="J28" s="108"/>
      <c r="K28" s="108">
        <v>15</v>
      </c>
      <c r="L28" s="246">
        <v>15</v>
      </c>
      <c r="M28" s="246">
        <v>0.5</v>
      </c>
      <c r="N28" s="224"/>
      <c r="O28" s="246"/>
      <c r="P28" s="246">
        <v>15</v>
      </c>
      <c r="Q28" s="108">
        <v>15</v>
      </c>
      <c r="R28" s="107">
        <v>0.5</v>
      </c>
      <c r="S28" s="246"/>
      <c r="T28" s="224"/>
      <c r="U28" s="246"/>
      <c r="V28" s="376">
        <v>4</v>
      </c>
      <c r="W28" s="248">
        <v>15</v>
      </c>
      <c r="X28" s="108">
        <v>15</v>
      </c>
      <c r="Y28" s="108">
        <v>0.5</v>
      </c>
      <c r="Z28" s="224"/>
      <c r="AA28" s="247"/>
      <c r="AB28" s="246"/>
      <c r="AC28" s="614">
        <v>15</v>
      </c>
      <c r="AD28" s="248">
        <v>15</v>
      </c>
      <c r="AE28" s="108">
        <v>0.5</v>
      </c>
      <c r="AF28" s="103"/>
      <c r="AG28" s="496">
        <f>SUM(B28:AF28)</f>
        <v>160.5</v>
      </c>
      <c r="AH28" s="491">
        <f>SUM(AG28-AG61)</f>
        <v>-5</v>
      </c>
    </row>
    <row r="29" spans="1:34" ht="29.45" thickBot="1">
      <c r="A29" s="188" t="s">
        <v>34</v>
      </c>
      <c r="B29" s="226"/>
      <c r="C29" s="133"/>
      <c r="D29" s="133"/>
      <c r="E29" s="228">
        <v>1</v>
      </c>
      <c r="F29" s="305">
        <v>1</v>
      </c>
      <c r="G29" s="304"/>
      <c r="H29" s="398"/>
      <c r="I29" s="227"/>
      <c r="J29" s="133"/>
      <c r="K29" s="133">
        <v>1</v>
      </c>
      <c r="L29" s="305">
        <v>1</v>
      </c>
      <c r="M29" s="304"/>
      <c r="N29" s="304"/>
      <c r="O29" s="229"/>
      <c r="P29" s="227">
        <v>1</v>
      </c>
      <c r="Q29" s="133">
        <v>1</v>
      </c>
      <c r="R29" s="178"/>
      <c r="S29" s="304"/>
      <c r="T29" s="304"/>
      <c r="U29" s="227"/>
      <c r="V29" s="395"/>
      <c r="W29" s="227">
        <v>1</v>
      </c>
      <c r="X29" s="178">
        <v>1</v>
      </c>
      <c r="Y29" s="177"/>
      <c r="Z29" s="304"/>
      <c r="AA29" s="310"/>
      <c r="AB29" s="227"/>
      <c r="AC29" s="615">
        <v>1</v>
      </c>
      <c r="AD29" s="305">
        <v>1</v>
      </c>
      <c r="AE29" s="177"/>
      <c r="AF29" s="177"/>
      <c r="AG29" s="497">
        <f>SUM(B29:AF29)</f>
        <v>10</v>
      </c>
      <c r="AH29" s="494"/>
    </row>
    <row r="30" spans="1:34" ht="28.9" thickBot="1">
      <c r="A30" s="173" t="s">
        <v>74</v>
      </c>
      <c r="B30" s="218"/>
      <c r="C30" s="114" t="s">
        <v>18</v>
      </c>
      <c r="D30" s="114" t="s">
        <v>18</v>
      </c>
      <c r="E30" s="295"/>
      <c r="F30" s="219"/>
      <c r="G30" s="219"/>
      <c r="H30" s="371"/>
      <c r="I30" s="219" t="s">
        <v>18</v>
      </c>
      <c r="J30" s="114" t="s">
        <v>18</v>
      </c>
      <c r="K30" s="105"/>
      <c r="L30" s="222"/>
      <c r="M30" s="256"/>
      <c r="N30" s="222"/>
      <c r="O30" s="222" t="s">
        <v>18</v>
      </c>
      <c r="P30" s="253" t="s">
        <v>18</v>
      </c>
      <c r="Q30" s="105"/>
      <c r="R30" s="105"/>
      <c r="S30" s="219"/>
      <c r="T30" s="296"/>
      <c r="U30" s="219" t="s">
        <v>18</v>
      </c>
      <c r="V30" s="371" t="s">
        <v>18</v>
      </c>
      <c r="W30" s="295"/>
      <c r="X30" s="118"/>
      <c r="Y30" s="114"/>
      <c r="Z30" s="296"/>
      <c r="AA30" s="219" t="s">
        <v>18</v>
      </c>
      <c r="AB30" s="219" t="s">
        <v>18</v>
      </c>
      <c r="AC30" s="296"/>
      <c r="AD30" s="219"/>
      <c r="AE30" s="130"/>
      <c r="AF30" s="130"/>
      <c r="AG30" s="215">
        <f t="shared" si="0"/>
        <v>0</v>
      </c>
      <c r="AH30" s="490"/>
    </row>
    <row r="31" spans="1:34" ht="28.9" thickBot="1">
      <c r="A31" s="146" t="s">
        <v>36</v>
      </c>
      <c r="B31" s="223"/>
      <c r="C31" s="103">
        <v>15</v>
      </c>
      <c r="D31" s="103">
        <v>15</v>
      </c>
      <c r="E31" s="294">
        <v>0.5</v>
      </c>
      <c r="F31" s="224"/>
      <c r="G31" s="224"/>
      <c r="H31" s="372">
        <v>4</v>
      </c>
      <c r="I31" s="224">
        <v>15</v>
      </c>
      <c r="J31" s="103">
        <v>15</v>
      </c>
      <c r="K31" s="103">
        <v>0.5</v>
      </c>
      <c r="L31" s="224"/>
      <c r="M31" s="224"/>
      <c r="N31" s="224"/>
      <c r="O31" s="224">
        <v>15</v>
      </c>
      <c r="P31" s="224">
        <v>15</v>
      </c>
      <c r="Q31" s="103">
        <v>0.5</v>
      </c>
      <c r="R31" s="103"/>
      <c r="S31" s="224"/>
      <c r="T31" s="224"/>
      <c r="U31" s="224">
        <v>15</v>
      </c>
      <c r="V31" s="372">
        <v>15</v>
      </c>
      <c r="W31" s="224">
        <v>0.5</v>
      </c>
      <c r="X31" s="103"/>
      <c r="Y31" s="103"/>
      <c r="Z31" s="224"/>
      <c r="AA31" s="224">
        <v>15</v>
      </c>
      <c r="AB31" s="224">
        <v>15</v>
      </c>
      <c r="AC31" s="224">
        <v>0.5</v>
      </c>
      <c r="AD31" s="224"/>
      <c r="AE31" s="103"/>
      <c r="AF31" s="115"/>
      <c r="AG31" s="496">
        <f t="shared" si="0"/>
        <v>156.5</v>
      </c>
      <c r="AH31" s="491">
        <f>SUM(AG31-AG61)</f>
        <v>-9</v>
      </c>
    </row>
    <row r="32" spans="1:34" ht="25.9" customHeight="1" thickBot="1">
      <c r="A32" s="187" t="s">
        <v>34</v>
      </c>
      <c r="B32" s="226"/>
      <c r="C32" s="133">
        <v>1</v>
      </c>
      <c r="D32" s="133">
        <v>1</v>
      </c>
      <c r="E32" s="228"/>
      <c r="F32" s="227"/>
      <c r="G32" s="227"/>
      <c r="H32" s="373"/>
      <c r="I32" s="227">
        <v>1</v>
      </c>
      <c r="J32" s="133">
        <v>1</v>
      </c>
      <c r="K32" s="134"/>
      <c r="L32" s="227"/>
      <c r="M32" s="229"/>
      <c r="N32" s="227"/>
      <c r="O32" s="229">
        <v>1</v>
      </c>
      <c r="P32" s="227">
        <v>1</v>
      </c>
      <c r="Q32" s="134"/>
      <c r="R32" s="133"/>
      <c r="S32" s="227"/>
      <c r="T32" s="229"/>
      <c r="U32" s="227">
        <v>1</v>
      </c>
      <c r="V32" s="373">
        <v>1</v>
      </c>
      <c r="W32" s="228"/>
      <c r="X32" s="134"/>
      <c r="Y32" s="133"/>
      <c r="Z32" s="229"/>
      <c r="AA32" s="227">
        <v>1</v>
      </c>
      <c r="AB32" s="227">
        <v>1</v>
      </c>
      <c r="AC32" s="229"/>
      <c r="AD32" s="227"/>
      <c r="AE32" s="135"/>
      <c r="AF32" s="135"/>
      <c r="AG32" s="320">
        <f t="shared" si="0"/>
        <v>10</v>
      </c>
      <c r="AH32" s="492"/>
    </row>
    <row r="33" spans="1:35" ht="28.9" thickBot="1">
      <c r="A33" s="173" t="s">
        <v>37</v>
      </c>
      <c r="B33" s="249"/>
      <c r="C33" s="102"/>
      <c r="D33" s="102"/>
      <c r="E33" s="222"/>
      <c r="F33" s="253"/>
      <c r="G33" s="251"/>
      <c r="H33" s="251"/>
      <c r="I33" s="251"/>
      <c r="J33" s="102"/>
      <c r="K33" s="102"/>
      <c r="L33" s="253"/>
      <c r="M33" s="256"/>
      <c r="N33" s="251"/>
      <c r="O33" s="251"/>
      <c r="P33" s="222"/>
      <c r="Q33" s="105"/>
      <c r="R33" s="111"/>
      <c r="S33" s="222"/>
      <c r="T33" s="222"/>
      <c r="U33" s="222"/>
      <c r="V33" s="222"/>
      <c r="W33" s="222"/>
      <c r="X33" s="111"/>
      <c r="Y33" s="105"/>
      <c r="Z33" s="256"/>
      <c r="AA33" s="256"/>
      <c r="AB33" s="222"/>
      <c r="AC33" s="222"/>
      <c r="AD33" s="222"/>
      <c r="AE33" s="111"/>
      <c r="AF33" s="111"/>
      <c r="AG33" s="215">
        <v>0</v>
      </c>
      <c r="AH33" s="488"/>
    </row>
    <row r="34" spans="1:35" ht="28.9" thickBot="1">
      <c r="A34" s="146" t="s">
        <v>38</v>
      </c>
      <c r="B34" s="255"/>
      <c r="C34" s="108"/>
      <c r="D34" s="108"/>
      <c r="E34" s="246"/>
      <c r="F34" s="248"/>
      <c r="G34" s="246"/>
      <c r="H34" s="246"/>
      <c r="I34" s="248"/>
      <c r="J34" s="108"/>
      <c r="K34" s="108"/>
      <c r="L34" s="248"/>
      <c r="M34" s="247"/>
      <c r="N34" s="246"/>
      <c r="O34" s="248"/>
      <c r="P34" s="246"/>
      <c r="Q34" s="108"/>
      <c r="R34" s="107"/>
      <c r="S34" s="246"/>
      <c r="T34" s="246"/>
      <c r="U34" s="246"/>
      <c r="V34" s="246"/>
      <c r="W34" s="246"/>
      <c r="X34" s="107"/>
      <c r="Y34" s="108"/>
      <c r="Z34" s="247"/>
      <c r="AA34" s="247"/>
      <c r="AB34" s="246"/>
      <c r="AC34" s="246"/>
      <c r="AD34" s="246"/>
      <c r="AE34" s="107"/>
      <c r="AF34" s="107"/>
      <c r="AG34" s="496">
        <f>SUM(B34:AF34)</f>
        <v>0</v>
      </c>
      <c r="AH34" s="495"/>
    </row>
    <row r="35" spans="1:35" ht="28.9" thickBot="1">
      <c r="A35" s="187" t="s">
        <v>39</v>
      </c>
      <c r="B35" s="226"/>
      <c r="C35" s="133"/>
      <c r="D35" s="133"/>
      <c r="E35" s="227"/>
      <c r="F35" s="227"/>
      <c r="G35" s="227"/>
      <c r="H35" s="227"/>
      <c r="I35" s="227"/>
      <c r="J35" s="133"/>
      <c r="K35" s="133"/>
      <c r="L35" s="227"/>
      <c r="M35" s="230"/>
      <c r="N35" s="227"/>
      <c r="O35" s="227"/>
      <c r="P35" s="227"/>
      <c r="Q35" s="134"/>
      <c r="R35" s="133"/>
      <c r="S35" s="227"/>
      <c r="T35" s="227"/>
      <c r="U35" s="227"/>
      <c r="V35" s="227"/>
      <c r="W35" s="227"/>
      <c r="X35" s="134"/>
      <c r="Y35" s="133"/>
      <c r="Z35" s="227"/>
      <c r="AA35" s="230"/>
      <c r="AB35" s="227"/>
      <c r="AC35" s="227"/>
      <c r="AD35" s="227"/>
      <c r="AE35" s="133"/>
      <c r="AF35" s="133"/>
      <c r="AG35" s="497">
        <f>SUM(B35:AF35)</f>
        <v>0</v>
      </c>
      <c r="AH35" s="489"/>
    </row>
    <row r="36" spans="1:35" ht="28.9" thickBot="1">
      <c r="A36" s="465"/>
      <c r="B36" s="249"/>
      <c r="C36" s="102"/>
      <c r="D36" s="102"/>
      <c r="E36" s="222"/>
      <c r="F36" s="253"/>
      <c r="G36" s="251"/>
      <c r="H36" s="251"/>
      <c r="I36" s="251"/>
      <c r="J36" s="102"/>
      <c r="K36" s="102"/>
      <c r="L36" s="253"/>
      <c r="M36" s="256"/>
      <c r="N36" s="251"/>
      <c r="O36" s="251"/>
      <c r="P36" s="222"/>
      <c r="Q36" s="105"/>
      <c r="R36" s="111"/>
      <c r="S36" s="222"/>
      <c r="T36" s="222"/>
      <c r="U36" s="222"/>
      <c r="V36" s="222"/>
      <c r="W36" s="222"/>
      <c r="X36" s="111"/>
      <c r="Y36" s="105"/>
      <c r="Z36" s="256"/>
      <c r="AA36" s="256"/>
      <c r="AB36" s="222"/>
      <c r="AC36" s="222"/>
      <c r="AD36" s="222"/>
      <c r="AE36" s="111"/>
      <c r="AF36" s="111"/>
      <c r="AG36" s="215">
        <v>0</v>
      </c>
      <c r="AH36" s="488"/>
    </row>
    <row r="37" spans="1:35" ht="28.9" thickBot="1">
      <c r="A37" s="146"/>
      <c r="B37" s="255"/>
      <c r="C37" s="108"/>
      <c r="D37" s="108"/>
      <c r="E37" s="246"/>
      <c r="F37" s="248"/>
      <c r="G37" s="246"/>
      <c r="H37" s="246"/>
      <c r="I37" s="248"/>
      <c r="J37" s="108"/>
      <c r="K37" s="108"/>
      <c r="L37" s="248"/>
      <c r="M37" s="247"/>
      <c r="N37" s="246"/>
      <c r="O37" s="248"/>
      <c r="P37" s="246"/>
      <c r="Q37" s="108"/>
      <c r="R37" s="107"/>
      <c r="S37" s="246"/>
      <c r="T37" s="246"/>
      <c r="U37" s="246"/>
      <c r="V37" s="246"/>
      <c r="W37" s="246"/>
      <c r="X37" s="107"/>
      <c r="Y37" s="108"/>
      <c r="Z37" s="247"/>
      <c r="AA37" s="247"/>
      <c r="AB37" s="246"/>
      <c r="AC37" s="246"/>
      <c r="AD37" s="246"/>
      <c r="AE37" s="107"/>
      <c r="AF37" s="107"/>
      <c r="AG37" s="496">
        <f>SUM(B37:AF37)</f>
        <v>0</v>
      </c>
      <c r="AH37" s="495"/>
    </row>
    <row r="38" spans="1:35" ht="28.9" thickBot="1">
      <c r="A38" s="188"/>
      <c r="B38" s="226"/>
      <c r="C38" s="133"/>
      <c r="D38" s="133"/>
      <c r="E38" s="227"/>
      <c r="F38" s="227"/>
      <c r="G38" s="227"/>
      <c r="H38" s="227"/>
      <c r="I38" s="227"/>
      <c r="J38" s="133"/>
      <c r="K38" s="133"/>
      <c r="L38" s="227"/>
      <c r="M38" s="230"/>
      <c r="N38" s="227"/>
      <c r="O38" s="227"/>
      <c r="P38" s="227"/>
      <c r="Q38" s="134"/>
      <c r="R38" s="133"/>
      <c r="S38" s="227"/>
      <c r="T38" s="227"/>
      <c r="U38" s="227"/>
      <c r="V38" s="227"/>
      <c r="W38" s="227"/>
      <c r="X38" s="134"/>
      <c r="Y38" s="133"/>
      <c r="Z38" s="227"/>
      <c r="AA38" s="230"/>
      <c r="AB38" s="227"/>
      <c r="AC38" s="227"/>
      <c r="AD38" s="227"/>
      <c r="AE38" s="133"/>
      <c r="AF38" s="133"/>
      <c r="AG38" s="497">
        <f>SUM(B38:AF38)</f>
        <v>0</v>
      </c>
      <c r="AH38" s="489"/>
    </row>
    <row r="39" spans="1:35" ht="29.45" thickBot="1">
      <c r="A39" s="173"/>
      <c r="B39" s="249"/>
      <c r="C39" s="102"/>
      <c r="D39" s="102"/>
      <c r="E39" s="222"/>
      <c r="F39" s="253"/>
      <c r="G39" s="251"/>
      <c r="H39" s="251"/>
      <c r="I39" s="251"/>
      <c r="J39" s="102"/>
      <c r="K39" s="102"/>
      <c r="L39" s="253"/>
      <c r="M39" s="256"/>
      <c r="N39" s="251"/>
      <c r="O39" s="251"/>
      <c r="P39" s="222"/>
      <c r="Q39" s="105"/>
      <c r="R39" s="111"/>
      <c r="S39" s="222"/>
      <c r="T39" s="222"/>
      <c r="U39" s="222"/>
      <c r="V39" s="222"/>
      <c r="W39" s="222"/>
      <c r="X39" s="111"/>
      <c r="Y39" s="105"/>
      <c r="Z39" s="256"/>
      <c r="AA39" s="256"/>
      <c r="AB39" s="222"/>
      <c r="AC39" s="222"/>
      <c r="AD39" s="222"/>
      <c r="AE39" s="111"/>
      <c r="AF39" s="111"/>
      <c r="AG39" s="215">
        <v>0</v>
      </c>
      <c r="AH39" s="6"/>
    </row>
    <row r="40" spans="1:35" ht="29.45" thickBot="1">
      <c r="A40" s="146"/>
      <c r="B40" s="255"/>
      <c r="C40" s="108"/>
      <c r="D40" s="108"/>
      <c r="E40" s="246"/>
      <c r="F40" s="248"/>
      <c r="G40" s="246"/>
      <c r="H40" s="246"/>
      <c r="I40" s="248"/>
      <c r="J40" s="108"/>
      <c r="K40" s="108"/>
      <c r="L40" s="248"/>
      <c r="M40" s="247"/>
      <c r="N40" s="246"/>
      <c r="O40" s="248"/>
      <c r="P40" s="246"/>
      <c r="Q40" s="108"/>
      <c r="R40" s="107"/>
      <c r="S40" s="246"/>
      <c r="T40" s="246"/>
      <c r="U40" s="246"/>
      <c r="V40" s="246"/>
      <c r="W40" s="246"/>
      <c r="X40" s="107"/>
      <c r="Y40" s="108"/>
      <c r="Z40" s="247"/>
      <c r="AA40" s="247"/>
      <c r="AB40" s="246"/>
      <c r="AC40" s="246"/>
      <c r="AD40" s="246"/>
      <c r="AE40" s="107"/>
      <c r="AF40" s="107"/>
      <c r="AG40" s="496">
        <f>SUM(B40:AF40)</f>
        <v>0</v>
      </c>
      <c r="AH40" s="6"/>
      <c r="AI40" s="152"/>
    </row>
    <row r="41" spans="1:35" ht="29.45" thickBot="1">
      <c r="A41" s="190"/>
      <c r="B41" s="226"/>
      <c r="C41" s="133"/>
      <c r="D41" s="133"/>
      <c r="E41" s="227"/>
      <c r="F41" s="227"/>
      <c r="G41" s="227"/>
      <c r="H41" s="227"/>
      <c r="I41" s="227"/>
      <c r="J41" s="133"/>
      <c r="K41" s="133"/>
      <c r="L41" s="227"/>
      <c r="M41" s="230"/>
      <c r="N41" s="227"/>
      <c r="O41" s="227"/>
      <c r="P41" s="227"/>
      <c r="Q41" s="134"/>
      <c r="R41" s="133"/>
      <c r="S41" s="227"/>
      <c r="T41" s="227"/>
      <c r="U41" s="227"/>
      <c r="V41" s="227"/>
      <c r="W41" s="227"/>
      <c r="X41" s="134"/>
      <c r="Y41" s="133"/>
      <c r="Z41" s="227"/>
      <c r="AA41" s="230"/>
      <c r="AB41" s="227"/>
      <c r="AC41" s="227"/>
      <c r="AD41" s="227"/>
      <c r="AE41" s="133"/>
      <c r="AF41" s="133"/>
      <c r="AG41" s="497">
        <f>SUM(B41:AF41)</f>
        <v>0</v>
      </c>
      <c r="AH41" s="6"/>
      <c r="AI41" s="152"/>
    </row>
    <row r="42" spans="1:35" ht="29.45" thickBot="1">
      <c r="A42" s="173"/>
      <c r="B42" s="249"/>
      <c r="C42" s="102"/>
      <c r="D42" s="102"/>
      <c r="E42" s="222"/>
      <c r="F42" s="253"/>
      <c r="G42" s="251"/>
      <c r="H42" s="251"/>
      <c r="I42" s="251"/>
      <c r="J42" s="102"/>
      <c r="K42" s="102"/>
      <c r="L42" s="253"/>
      <c r="M42" s="256"/>
      <c r="N42" s="251"/>
      <c r="O42" s="251"/>
      <c r="P42" s="222"/>
      <c r="Q42" s="105"/>
      <c r="R42" s="111"/>
      <c r="S42" s="222"/>
      <c r="T42" s="222"/>
      <c r="U42" s="222"/>
      <c r="V42" s="222"/>
      <c r="W42" s="222"/>
      <c r="X42" s="111"/>
      <c r="Y42" s="105"/>
      <c r="Z42" s="256"/>
      <c r="AA42" s="256"/>
      <c r="AB42" s="222"/>
      <c r="AC42" s="222"/>
      <c r="AD42" s="222"/>
      <c r="AE42" s="111"/>
      <c r="AF42" s="111"/>
      <c r="AG42" s="215">
        <v>0</v>
      </c>
      <c r="AH42" s="6"/>
      <c r="AI42" s="152"/>
    </row>
    <row r="43" spans="1:35" ht="29.45" thickBot="1">
      <c r="A43" s="146"/>
      <c r="B43" s="255"/>
      <c r="C43" s="108"/>
      <c r="D43" s="108"/>
      <c r="E43" s="246"/>
      <c r="F43" s="248"/>
      <c r="G43" s="246"/>
      <c r="H43" s="246"/>
      <c r="I43" s="248"/>
      <c r="J43" s="108"/>
      <c r="K43" s="108"/>
      <c r="L43" s="248"/>
      <c r="M43" s="247"/>
      <c r="N43" s="246"/>
      <c r="O43" s="248"/>
      <c r="P43" s="246"/>
      <c r="Q43" s="108"/>
      <c r="R43" s="107"/>
      <c r="S43" s="246"/>
      <c r="T43" s="246"/>
      <c r="U43" s="246"/>
      <c r="V43" s="246"/>
      <c r="W43" s="246"/>
      <c r="X43" s="107"/>
      <c r="Y43" s="108"/>
      <c r="Z43" s="247"/>
      <c r="AA43" s="247"/>
      <c r="AB43" s="246"/>
      <c r="AC43" s="246"/>
      <c r="AD43" s="246"/>
      <c r="AE43" s="107"/>
      <c r="AF43" s="107"/>
      <c r="AG43" s="496">
        <f>SUM(B43:AF43)</f>
        <v>0</v>
      </c>
      <c r="AH43" s="6"/>
    </row>
    <row r="44" spans="1:35" ht="28.9" customHeight="1" thickBot="1">
      <c r="A44" s="190"/>
      <c r="B44" s="226"/>
      <c r="C44" s="133"/>
      <c r="D44" s="133"/>
      <c r="E44" s="227"/>
      <c r="F44" s="227"/>
      <c r="G44" s="227"/>
      <c r="H44" s="227"/>
      <c r="I44" s="227"/>
      <c r="J44" s="133"/>
      <c r="K44" s="133"/>
      <c r="L44" s="227"/>
      <c r="M44" s="230"/>
      <c r="N44" s="227"/>
      <c r="O44" s="227"/>
      <c r="P44" s="227"/>
      <c r="Q44" s="134"/>
      <c r="R44" s="133"/>
      <c r="S44" s="227"/>
      <c r="T44" s="227"/>
      <c r="U44" s="227"/>
      <c r="V44" s="227"/>
      <c r="W44" s="227"/>
      <c r="X44" s="134"/>
      <c r="Y44" s="133"/>
      <c r="Z44" s="227"/>
      <c r="AA44" s="230"/>
      <c r="AB44" s="227"/>
      <c r="AC44" s="227"/>
      <c r="AD44" s="227"/>
      <c r="AE44" s="133"/>
      <c r="AF44" s="133"/>
      <c r="AG44" s="497">
        <f>SUM(B44:AF44)</f>
        <v>0</v>
      </c>
      <c r="AH44" s="6"/>
    </row>
    <row r="45" spans="1:35" ht="29.45" thickBot="1">
      <c r="A45" s="173"/>
      <c r="B45" s="249"/>
      <c r="C45" s="102"/>
      <c r="D45" s="102"/>
      <c r="E45" s="222"/>
      <c r="F45" s="253"/>
      <c r="G45" s="251"/>
      <c r="H45" s="251"/>
      <c r="I45" s="251"/>
      <c r="J45" s="102"/>
      <c r="K45" s="102"/>
      <c r="L45" s="253"/>
      <c r="M45" s="256"/>
      <c r="N45" s="251"/>
      <c r="O45" s="251"/>
      <c r="P45" s="222"/>
      <c r="Q45" s="105"/>
      <c r="R45" s="111"/>
      <c r="S45" s="222"/>
      <c r="T45" s="222"/>
      <c r="U45" s="222"/>
      <c r="V45" s="222"/>
      <c r="W45" s="222"/>
      <c r="X45" s="111"/>
      <c r="Y45" s="105"/>
      <c r="Z45" s="256"/>
      <c r="AA45" s="256"/>
      <c r="AB45" s="222"/>
      <c r="AC45" s="222"/>
      <c r="AD45" s="222"/>
      <c r="AE45" s="111"/>
      <c r="AF45" s="111"/>
      <c r="AG45" s="215">
        <v>0</v>
      </c>
      <c r="AH45" s="6"/>
    </row>
    <row r="46" spans="1:35" ht="29.45" thickBot="1">
      <c r="A46" s="146"/>
      <c r="B46" s="255"/>
      <c r="C46" s="108"/>
      <c r="D46" s="108"/>
      <c r="E46" s="246"/>
      <c r="F46" s="248"/>
      <c r="G46" s="246"/>
      <c r="H46" s="246"/>
      <c r="I46" s="248"/>
      <c r="J46" s="108"/>
      <c r="K46" s="108"/>
      <c r="L46" s="248"/>
      <c r="M46" s="247"/>
      <c r="N46" s="246"/>
      <c r="O46" s="248"/>
      <c r="P46" s="246"/>
      <c r="Q46" s="108"/>
      <c r="R46" s="107"/>
      <c r="S46" s="246"/>
      <c r="T46" s="246"/>
      <c r="U46" s="246"/>
      <c r="V46" s="246"/>
      <c r="W46" s="246"/>
      <c r="X46" s="107"/>
      <c r="Y46" s="108"/>
      <c r="Z46" s="247"/>
      <c r="AA46" s="247"/>
      <c r="AB46" s="246"/>
      <c r="AC46" s="246"/>
      <c r="AD46" s="246"/>
      <c r="AE46" s="107"/>
      <c r="AF46" s="107"/>
      <c r="AG46" s="496">
        <f>SUM(B46:AF46)</f>
        <v>0</v>
      </c>
      <c r="AH46" s="6"/>
    </row>
    <row r="47" spans="1:35" ht="29.45" thickBot="1">
      <c r="A47" s="190"/>
      <c r="B47" s="226"/>
      <c r="C47" s="133"/>
      <c r="D47" s="133"/>
      <c r="E47" s="227"/>
      <c r="F47" s="227"/>
      <c r="G47" s="227"/>
      <c r="H47" s="227"/>
      <c r="I47" s="227"/>
      <c r="J47" s="133"/>
      <c r="K47" s="133"/>
      <c r="L47" s="227"/>
      <c r="M47" s="230"/>
      <c r="N47" s="227"/>
      <c r="O47" s="227"/>
      <c r="P47" s="227"/>
      <c r="Q47" s="134"/>
      <c r="R47" s="133"/>
      <c r="S47" s="227"/>
      <c r="T47" s="227"/>
      <c r="U47" s="227"/>
      <c r="V47" s="227"/>
      <c r="W47" s="227"/>
      <c r="X47" s="134"/>
      <c r="Y47" s="133"/>
      <c r="Z47" s="227"/>
      <c r="AA47" s="230"/>
      <c r="AB47" s="227"/>
      <c r="AC47" s="227"/>
      <c r="AD47" s="227"/>
      <c r="AE47" s="133"/>
      <c r="AF47" s="133"/>
      <c r="AG47" s="497">
        <f>SUM(B47:AF47)</f>
        <v>0</v>
      </c>
      <c r="AH47" s="6"/>
    </row>
    <row r="48" spans="1:35" ht="29.45" hidden="1" thickBot="1">
      <c r="A48" s="173"/>
      <c r="B48" s="249"/>
      <c r="C48" s="102"/>
      <c r="D48" s="102"/>
      <c r="E48" s="222"/>
      <c r="F48" s="253"/>
      <c r="G48" s="251"/>
      <c r="H48" s="251"/>
      <c r="I48" s="251"/>
      <c r="J48" s="102"/>
      <c r="K48" s="102"/>
      <c r="L48" s="253"/>
      <c r="M48" s="256"/>
      <c r="N48" s="251"/>
      <c r="O48" s="251"/>
      <c r="P48" s="222"/>
      <c r="Q48" s="105"/>
      <c r="R48" s="111"/>
      <c r="S48" s="222"/>
      <c r="T48" s="222"/>
      <c r="U48" s="222"/>
      <c r="V48" s="222"/>
      <c r="W48" s="222"/>
      <c r="X48" s="111"/>
      <c r="Y48" s="105"/>
      <c r="Z48" s="256"/>
      <c r="AA48" s="256"/>
      <c r="AB48" s="222"/>
      <c r="AC48" s="222"/>
      <c r="AD48" s="222"/>
      <c r="AE48" s="111"/>
      <c r="AF48" s="111"/>
      <c r="AG48" s="215">
        <v>0</v>
      </c>
      <c r="AH48" s="6"/>
    </row>
    <row r="49" spans="1:34" ht="29.45" hidden="1" thickBot="1">
      <c r="A49" s="146"/>
      <c r="B49" s="255"/>
      <c r="C49" s="108"/>
      <c r="D49" s="108"/>
      <c r="E49" s="246"/>
      <c r="F49" s="248"/>
      <c r="G49" s="246"/>
      <c r="H49" s="246"/>
      <c r="I49" s="248"/>
      <c r="J49" s="108"/>
      <c r="K49" s="108"/>
      <c r="L49" s="248"/>
      <c r="M49" s="247"/>
      <c r="N49" s="246"/>
      <c r="O49" s="248"/>
      <c r="P49" s="246"/>
      <c r="Q49" s="108"/>
      <c r="R49" s="107"/>
      <c r="S49" s="246"/>
      <c r="T49" s="246"/>
      <c r="U49" s="246"/>
      <c r="V49" s="246"/>
      <c r="W49" s="246"/>
      <c r="X49" s="107"/>
      <c r="Y49" s="108"/>
      <c r="Z49" s="247"/>
      <c r="AA49" s="247"/>
      <c r="AB49" s="246"/>
      <c r="AC49" s="246"/>
      <c r="AD49" s="246"/>
      <c r="AE49" s="107"/>
      <c r="AF49" s="107"/>
      <c r="AG49" s="496">
        <f>SUM(B49:AF49)</f>
        <v>0</v>
      </c>
      <c r="AH49" s="6"/>
    </row>
    <row r="50" spans="1:34" ht="28.9" hidden="1" thickBot="1">
      <c r="A50" s="190"/>
      <c r="B50" s="226"/>
      <c r="C50" s="133"/>
      <c r="D50" s="133"/>
      <c r="E50" s="227"/>
      <c r="F50" s="227"/>
      <c r="G50" s="227"/>
      <c r="H50" s="227"/>
      <c r="I50" s="227"/>
      <c r="J50" s="133"/>
      <c r="K50" s="133"/>
      <c r="L50" s="227"/>
      <c r="M50" s="230"/>
      <c r="N50" s="227"/>
      <c r="O50" s="227"/>
      <c r="P50" s="227"/>
      <c r="Q50" s="134"/>
      <c r="R50" s="133"/>
      <c r="S50" s="227"/>
      <c r="T50" s="227"/>
      <c r="U50" s="227"/>
      <c r="V50" s="227"/>
      <c r="W50" s="227"/>
      <c r="X50" s="134"/>
      <c r="Y50" s="133"/>
      <c r="Z50" s="227"/>
      <c r="AA50" s="230"/>
      <c r="AB50" s="227"/>
      <c r="AC50" s="227"/>
      <c r="AD50" s="227"/>
      <c r="AE50" s="133"/>
      <c r="AF50" s="133"/>
      <c r="AG50" s="497">
        <f>SUM(B50:AF50)</f>
        <v>0</v>
      </c>
    </row>
    <row r="51" spans="1:34" ht="28.9" hidden="1" thickBot="1">
      <c r="A51" s="173"/>
      <c r="B51" s="249"/>
      <c r="C51" s="102"/>
      <c r="D51" s="102"/>
      <c r="E51" s="222"/>
      <c r="F51" s="253"/>
      <c r="G51" s="251"/>
      <c r="H51" s="251"/>
      <c r="I51" s="251"/>
      <c r="J51" s="102"/>
      <c r="K51" s="102"/>
      <c r="L51" s="253"/>
      <c r="M51" s="256"/>
      <c r="N51" s="251"/>
      <c r="O51" s="251"/>
      <c r="P51" s="222"/>
      <c r="Q51" s="105"/>
      <c r="R51" s="111"/>
      <c r="S51" s="222"/>
      <c r="T51" s="222"/>
      <c r="U51" s="222"/>
      <c r="V51" s="222"/>
      <c r="W51" s="222"/>
      <c r="X51" s="111"/>
      <c r="Y51" s="105"/>
      <c r="Z51" s="256"/>
      <c r="AA51" s="256"/>
      <c r="AB51" s="222"/>
      <c r="AC51" s="222"/>
      <c r="AD51" s="222"/>
      <c r="AE51" s="111"/>
      <c r="AF51" s="111"/>
      <c r="AG51" s="215">
        <v>0</v>
      </c>
    </row>
    <row r="52" spans="1:34" ht="28.9" hidden="1" thickBot="1">
      <c r="A52" s="146"/>
      <c r="B52" s="255"/>
      <c r="C52" s="108"/>
      <c r="D52" s="108"/>
      <c r="E52" s="246"/>
      <c r="F52" s="248"/>
      <c r="G52" s="246"/>
      <c r="H52" s="246"/>
      <c r="I52" s="248"/>
      <c r="J52" s="108"/>
      <c r="K52" s="108"/>
      <c r="L52" s="248"/>
      <c r="M52" s="247"/>
      <c r="N52" s="246"/>
      <c r="O52" s="248"/>
      <c r="P52" s="246"/>
      <c r="Q52" s="108"/>
      <c r="R52" s="107"/>
      <c r="S52" s="246"/>
      <c r="T52" s="246"/>
      <c r="U52" s="246"/>
      <c r="V52" s="246"/>
      <c r="W52" s="246"/>
      <c r="X52" s="107"/>
      <c r="Y52" s="108"/>
      <c r="Z52" s="247"/>
      <c r="AA52" s="247"/>
      <c r="AB52" s="246"/>
      <c r="AC52" s="246"/>
      <c r="AD52" s="246"/>
      <c r="AE52" s="107"/>
      <c r="AF52" s="107"/>
      <c r="AG52" s="496">
        <f>SUM(B52:AF52)</f>
        <v>0</v>
      </c>
    </row>
    <row r="53" spans="1:34" ht="28.9" hidden="1" thickBot="1">
      <c r="A53" s="190"/>
      <c r="B53" s="226"/>
      <c r="C53" s="133"/>
      <c r="D53" s="133"/>
      <c r="E53" s="227"/>
      <c r="F53" s="227"/>
      <c r="G53" s="227"/>
      <c r="H53" s="227"/>
      <c r="I53" s="227"/>
      <c r="J53" s="133"/>
      <c r="K53" s="133"/>
      <c r="L53" s="227"/>
      <c r="M53" s="230"/>
      <c r="N53" s="227"/>
      <c r="O53" s="227"/>
      <c r="P53" s="227"/>
      <c r="Q53" s="134"/>
      <c r="R53" s="133"/>
      <c r="S53" s="227"/>
      <c r="T53" s="227"/>
      <c r="U53" s="227"/>
      <c r="V53" s="227"/>
      <c r="W53" s="227"/>
      <c r="X53" s="134"/>
      <c r="Y53" s="133"/>
      <c r="Z53" s="227"/>
      <c r="AA53" s="230"/>
      <c r="AB53" s="227"/>
      <c r="AC53" s="227"/>
      <c r="AD53" s="227"/>
      <c r="AE53" s="133"/>
      <c r="AF53" s="133"/>
      <c r="AG53" s="497">
        <f>SUM(B53:AF53)</f>
        <v>0</v>
      </c>
    </row>
    <row r="54" spans="1:34" ht="28.9" hidden="1" thickBot="1">
      <c r="A54" s="173"/>
      <c r="B54" s="249"/>
      <c r="C54" s="102"/>
      <c r="D54" s="102"/>
      <c r="E54" s="222"/>
      <c r="F54" s="253"/>
      <c r="G54" s="251"/>
      <c r="H54" s="251"/>
      <c r="I54" s="251"/>
      <c r="J54" s="102"/>
      <c r="K54" s="102"/>
      <c r="L54" s="253"/>
      <c r="M54" s="256"/>
      <c r="N54" s="251"/>
      <c r="O54" s="251"/>
      <c r="P54" s="222"/>
      <c r="Q54" s="105"/>
      <c r="R54" s="111"/>
      <c r="S54" s="222"/>
      <c r="T54" s="222"/>
      <c r="U54" s="222"/>
      <c r="V54" s="222"/>
      <c r="W54" s="222"/>
      <c r="X54" s="111"/>
      <c r="Y54" s="105"/>
      <c r="Z54" s="256"/>
      <c r="AA54" s="256"/>
      <c r="AB54" s="222"/>
      <c r="AC54" s="222"/>
      <c r="AD54" s="222"/>
      <c r="AE54" s="111"/>
      <c r="AF54" s="111"/>
      <c r="AG54" s="215">
        <v>0</v>
      </c>
    </row>
    <row r="55" spans="1:34" ht="28.9" hidden="1" thickBot="1">
      <c r="A55" s="146"/>
      <c r="B55" s="255"/>
      <c r="C55" s="108"/>
      <c r="D55" s="108"/>
      <c r="E55" s="246"/>
      <c r="F55" s="248"/>
      <c r="G55" s="246"/>
      <c r="H55" s="246"/>
      <c r="I55" s="248"/>
      <c r="J55" s="108"/>
      <c r="K55" s="108"/>
      <c r="L55" s="248"/>
      <c r="M55" s="247"/>
      <c r="N55" s="246"/>
      <c r="O55" s="248"/>
      <c r="P55" s="246"/>
      <c r="Q55" s="108"/>
      <c r="R55" s="107"/>
      <c r="S55" s="246"/>
      <c r="T55" s="246"/>
      <c r="U55" s="246"/>
      <c r="V55" s="246"/>
      <c r="W55" s="246"/>
      <c r="X55" s="107"/>
      <c r="Y55" s="108"/>
      <c r="Z55" s="247"/>
      <c r="AA55" s="247"/>
      <c r="AB55" s="246"/>
      <c r="AC55" s="246"/>
      <c r="AD55" s="246"/>
      <c r="AE55" s="107"/>
      <c r="AF55" s="107"/>
      <c r="AG55" s="496">
        <f>SUM(B55:AF55)</f>
        <v>0</v>
      </c>
    </row>
    <row r="56" spans="1:34" ht="28.9" hidden="1" thickBot="1">
      <c r="A56" s="190"/>
      <c r="B56" s="226"/>
      <c r="C56" s="133"/>
      <c r="D56" s="133"/>
      <c r="E56" s="227"/>
      <c r="F56" s="227"/>
      <c r="G56" s="227"/>
      <c r="H56" s="227"/>
      <c r="I56" s="227"/>
      <c r="J56" s="133"/>
      <c r="K56" s="133"/>
      <c r="L56" s="227"/>
      <c r="M56" s="230"/>
      <c r="N56" s="227"/>
      <c r="O56" s="227"/>
      <c r="P56" s="227"/>
      <c r="Q56" s="134"/>
      <c r="R56" s="133"/>
      <c r="S56" s="227"/>
      <c r="T56" s="227"/>
      <c r="U56" s="227"/>
      <c r="V56" s="227"/>
      <c r="W56" s="227"/>
      <c r="X56" s="134"/>
      <c r="Y56" s="133"/>
      <c r="Z56" s="227"/>
      <c r="AA56" s="230"/>
      <c r="AB56" s="227"/>
      <c r="AC56" s="227"/>
      <c r="AD56" s="227"/>
      <c r="AE56" s="133"/>
      <c r="AF56" s="133"/>
      <c r="AG56" s="497">
        <f>SUM(B56:AF56)</f>
        <v>0</v>
      </c>
    </row>
    <row r="57" spans="1:34" ht="29.45" hidden="1" thickBot="1">
      <c r="A57" s="173"/>
      <c r="B57" s="266"/>
      <c r="C57" s="105"/>
      <c r="D57" s="105"/>
      <c r="E57" s="253"/>
      <c r="F57" s="222"/>
      <c r="G57" s="222"/>
      <c r="H57" s="222"/>
      <c r="I57" s="222"/>
      <c r="J57" s="105"/>
      <c r="K57" s="105"/>
      <c r="L57" s="222"/>
      <c r="M57" s="256"/>
      <c r="N57" s="222"/>
      <c r="O57" s="254"/>
      <c r="P57" s="222"/>
      <c r="Q57" s="112"/>
      <c r="R57" s="105"/>
      <c r="S57" s="222"/>
      <c r="T57" s="254"/>
      <c r="U57" s="222"/>
      <c r="V57" s="254"/>
      <c r="W57" s="222"/>
      <c r="X57" s="112"/>
      <c r="Y57" s="105"/>
      <c r="Z57" s="222"/>
      <c r="AA57" s="256"/>
      <c r="AB57" s="309"/>
      <c r="AC57" s="222"/>
      <c r="AD57" s="222"/>
      <c r="AE57" s="105"/>
      <c r="AF57" s="105"/>
      <c r="AG57" s="215">
        <f>SUM(B57:AF57)</f>
        <v>0</v>
      </c>
    </row>
    <row r="58" spans="1:34" ht="28.9" hidden="1" thickBot="1">
      <c r="A58" s="189"/>
      <c r="B58" s="259"/>
      <c r="C58" s="137"/>
      <c r="D58" s="137"/>
      <c r="E58" s="260"/>
      <c r="F58" s="232"/>
      <c r="G58" s="232"/>
      <c r="H58" s="232"/>
      <c r="I58" s="232"/>
      <c r="J58" s="137"/>
      <c r="K58" s="137"/>
      <c r="L58" s="232"/>
      <c r="M58" s="231"/>
      <c r="N58" s="232"/>
      <c r="O58" s="232"/>
      <c r="P58" s="232"/>
      <c r="Q58" s="137"/>
      <c r="R58" s="137"/>
      <c r="S58" s="232"/>
      <c r="T58" s="260"/>
      <c r="U58" s="232"/>
      <c r="V58" s="232"/>
      <c r="W58" s="260"/>
      <c r="X58" s="137"/>
      <c r="Y58" s="137"/>
      <c r="Z58" s="232"/>
      <c r="AA58" s="231"/>
      <c r="AB58" s="232"/>
      <c r="AC58" s="232"/>
      <c r="AD58" s="232"/>
      <c r="AE58" s="139"/>
      <c r="AF58" s="338"/>
      <c r="AG58" s="552">
        <f>SUM(B58:AF58)</f>
        <v>0</v>
      </c>
    </row>
    <row r="59" spans="1:34" ht="28.9" hidden="1" thickBot="1">
      <c r="A59" s="150"/>
      <c r="B59" s="255"/>
      <c r="C59" s="108"/>
      <c r="D59" s="108"/>
      <c r="E59" s="248"/>
      <c r="F59" s="246"/>
      <c r="G59" s="246"/>
      <c r="H59" s="246"/>
      <c r="I59" s="246"/>
      <c r="J59" s="108"/>
      <c r="K59" s="108"/>
      <c r="L59" s="248"/>
      <c r="M59" s="252"/>
      <c r="N59" s="246"/>
      <c r="O59" s="252"/>
      <c r="P59" s="246"/>
      <c r="Q59" s="113"/>
      <c r="R59" s="108"/>
      <c r="S59" s="246"/>
      <c r="T59" s="252"/>
      <c r="U59" s="246"/>
      <c r="V59" s="247"/>
      <c r="W59" s="246"/>
      <c r="X59" s="113"/>
      <c r="Y59" s="108"/>
      <c r="Z59" s="246"/>
      <c r="AA59" s="247"/>
      <c r="AB59" s="246"/>
      <c r="AC59" s="246"/>
      <c r="AD59" s="246"/>
      <c r="AE59" s="110"/>
      <c r="AF59" s="113"/>
      <c r="AG59" s="553">
        <f>SUM(B59:AF59)</f>
        <v>0</v>
      </c>
    </row>
    <row r="60" spans="1:34" ht="32.450000000000003" thickBot="1">
      <c r="A60" s="678" t="s">
        <v>40</v>
      </c>
      <c r="B60" s="311"/>
      <c r="C60" s="312"/>
      <c r="D60" s="312"/>
      <c r="E60" s="313"/>
      <c r="F60" s="312"/>
      <c r="G60" s="312"/>
      <c r="H60" s="312"/>
      <c r="I60" s="312"/>
      <c r="J60" s="312"/>
      <c r="K60" s="312"/>
      <c r="L60" s="313"/>
      <c r="M60" s="314"/>
      <c r="N60" s="312"/>
      <c r="O60" s="314"/>
      <c r="P60" s="312"/>
      <c r="Q60" s="314"/>
      <c r="R60" s="312"/>
      <c r="S60" s="312"/>
      <c r="T60" s="314"/>
      <c r="U60" s="312"/>
      <c r="V60" s="315"/>
      <c r="W60" s="312"/>
      <c r="X60" s="314"/>
      <c r="Y60" s="312"/>
      <c r="Z60" s="312"/>
      <c r="AA60" s="315"/>
      <c r="AB60" s="312"/>
      <c r="AC60" s="313"/>
      <c r="AD60" s="312"/>
      <c r="AE60" s="312"/>
      <c r="AF60" s="316"/>
      <c r="AG60" s="498" t="s">
        <v>41</v>
      </c>
    </row>
    <row r="61" spans="1:34" ht="32.450000000000003" thickBot="1">
      <c r="A61" s="679"/>
      <c r="B61" s="317"/>
      <c r="C61" s="318"/>
      <c r="D61" s="318"/>
      <c r="E61" s="318"/>
      <c r="F61" s="318"/>
      <c r="G61" s="318"/>
      <c r="H61" s="318"/>
      <c r="I61" s="318"/>
      <c r="J61" s="318"/>
      <c r="K61" s="318"/>
      <c r="L61" s="318"/>
      <c r="M61" s="318"/>
      <c r="N61" s="318"/>
      <c r="O61" s="318"/>
      <c r="P61" s="318"/>
      <c r="Q61" s="318"/>
      <c r="R61" s="318"/>
      <c r="S61" s="318"/>
      <c r="T61" s="318"/>
      <c r="U61" s="318"/>
      <c r="V61" s="318"/>
      <c r="W61" s="318"/>
      <c r="X61" s="318"/>
      <c r="Y61" s="318"/>
      <c r="Z61" s="318"/>
      <c r="AA61" s="318"/>
      <c r="AB61" s="318"/>
      <c r="AC61" s="318"/>
      <c r="AD61" s="318"/>
      <c r="AE61" s="318"/>
      <c r="AF61" s="319"/>
      <c r="AG61" s="499">
        <v>165.5</v>
      </c>
    </row>
    <row r="62" spans="1:34" ht="29.45" thickTop="1">
      <c r="A62" s="125" t="s">
        <v>42</v>
      </c>
      <c r="B62" s="126"/>
      <c r="C62" s="126"/>
      <c r="D62" s="124"/>
      <c r="E62" s="124"/>
      <c r="F62" s="124"/>
      <c r="G62" s="124"/>
      <c r="H62" s="127"/>
      <c r="I62" s="7"/>
      <c r="J62" s="7"/>
      <c r="K62" s="20" t="s">
        <v>43</v>
      </c>
      <c r="L62" s="37"/>
      <c r="M62" s="37"/>
      <c r="N62" s="37"/>
      <c r="O62" s="37"/>
      <c r="P62" s="22"/>
      <c r="Q62" s="22"/>
      <c r="R62" s="128"/>
      <c r="S62" s="128" t="s">
        <v>44</v>
      </c>
      <c r="T62" s="23"/>
      <c r="U62" s="129"/>
      <c r="V62" s="7"/>
      <c r="W62" s="7"/>
      <c r="X62" s="25"/>
      <c r="Y62" s="26"/>
      <c r="Z62" s="26"/>
      <c r="AA62" s="26"/>
      <c r="AB62" s="90" t="s">
        <v>45</v>
      </c>
      <c r="AC62" s="26"/>
      <c r="AD62" s="26"/>
      <c r="AE62" s="26"/>
      <c r="AF62" s="26"/>
      <c r="AG62" s="55"/>
    </row>
    <row r="63" spans="1:34" ht="28.9">
      <c r="A63" s="16" t="s">
        <v>46</v>
      </c>
      <c r="B63" s="17"/>
      <c r="C63" s="17"/>
      <c r="D63" s="18"/>
      <c r="E63" s="18"/>
      <c r="F63" s="18"/>
      <c r="G63" s="18"/>
      <c r="H63" s="19"/>
      <c r="I63" s="7"/>
      <c r="J63" s="7"/>
      <c r="K63" s="20" t="s">
        <v>47</v>
      </c>
      <c r="L63" s="21"/>
      <c r="M63" s="21"/>
      <c r="N63" s="21"/>
      <c r="O63" s="21"/>
      <c r="P63" s="22"/>
      <c r="Q63" s="128"/>
      <c r="R63" s="128" t="s">
        <v>48</v>
      </c>
      <c r="S63" s="23"/>
      <c r="T63" s="23"/>
      <c r="U63" s="24"/>
      <c r="V63" s="7"/>
      <c r="W63" s="7"/>
      <c r="X63" s="25"/>
      <c r="Y63" s="26"/>
      <c r="Z63" s="26"/>
      <c r="AA63" s="26"/>
      <c r="AB63" s="26"/>
      <c r="AC63" s="26"/>
      <c r="AD63" s="26"/>
      <c r="AE63" s="26"/>
      <c r="AF63" s="26"/>
      <c r="AG63" s="55"/>
    </row>
    <row r="64" spans="1:34" ht="28.15">
      <c r="A64" s="27" t="s">
        <v>49</v>
      </c>
      <c r="B64" s="28"/>
      <c r="C64" s="28"/>
      <c r="D64" s="28"/>
      <c r="E64" s="28"/>
      <c r="F64" s="28"/>
      <c r="G64" s="28"/>
      <c r="H64" s="29"/>
      <c r="I64" s="7"/>
      <c r="J64" s="7"/>
      <c r="K64" s="20" t="s">
        <v>50</v>
      </c>
      <c r="L64" s="21"/>
      <c r="M64" s="21"/>
      <c r="N64" s="21"/>
      <c r="O64" s="21"/>
      <c r="P64" s="22"/>
      <c r="Q64" s="22"/>
      <c r="R64" s="22"/>
      <c r="S64" s="22"/>
      <c r="T64" s="22"/>
      <c r="U64" s="30"/>
      <c r="V64" s="7"/>
      <c r="W64" s="7"/>
      <c r="X64" s="31"/>
      <c r="Y64" s="26"/>
      <c r="Z64" s="26"/>
      <c r="AA64" s="26"/>
      <c r="AB64" s="26"/>
      <c r="AC64" s="26"/>
      <c r="AD64" s="26"/>
      <c r="AE64" s="26"/>
      <c r="AF64" s="26"/>
      <c r="AG64" s="15"/>
    </row>
    <row r="65" spans="1:33" ht="28.9">
      <c r="A65" s="32" t="s">
        <v>51</v>
      </c>
      <c r="B65" s="33"/>
      <c r="C65" s="33"/>
      <c r="D65" s="34"/>
      <c r="E65" s="34"/>
      <c r="F65" s="34"/>
      <c r="G65" s="34"/>
      <c r="H65" s="35"/>
      <c r="I65" s="36"/>
      <c r="J65" s="36"/>
      <c r="K65" s="20" t="s">
        <v>70</v>
      </c>
      <c r="L65" s="21"/>
      <c r="M65" s="21"/>
      <c r="N65" s="21"/>
      <c r="O65" s="21"/>
      <c r="P65" s="37"/>
      <c r="Q65" s="37"/>
      <c r="R65" s="37"/>
      <c r="S65" s="38"/>
      <c r="T65" s="37"/>
      <c r="U65" s="39"/>
      <c r="V65" s="40"/>
      <c r="W65" s="6"/>
      <c r="X65" s="701"/>
      <c r="Y65" s="702"/>
      <c r="Z65" s="702"/>
      <c r="AA65" s="702"/>
      <c r="AB65" s="702"/>
      <c r="AC65" s="702"/>
      <c r="AD65" s="702"/>
      <c r="AE65" s="702"/>
      <c r="AF65" s="702"/>
      <c r="AG65" s="703"/>
    </row>
    <row r="66" spans="1:33" ht="28.9">
      <c r="A66" s="42" t="s">
        <v>53</v>
      </c>
      <c r="B66" s="43"/>
      <c r="C66" s="43"/>
      <c r="D66" s="43"/>
      <c r="E66" s="43"/>
      <c r="F66" s="43"/>
      <c r="G66" s="43"/>
      <c r="H66" s="44"/>
      <c r="I66" s="36"/>
      <c r="J66" s="36"/>
      <c r="K66" s="20" t="s">
        <v>71</v>
      </c>
      <c r="L66" s="21"/>
      <c r="M66" s="21"/>
      <c r="N66" s="21"/>
      <c r="O66" s="21"/>
      <c r="P66" s="21"/>
      <c r="Q66" s="21"/>
      <c r="R66" s="21"/>
      <c r="S66" s="38"/>
      <c r="T66" s="37"/>
      <c r="U66" s="39"/>
      <c r="V66" s="40"/>
      <c r="W66" s="6"/>
      <c r="X66" s="41"/>
      <c r="Y66" s="45"/>
      <c r="Z66" s="46"/>
      <c r="AA66" s="45"/>
      <c r="AB66" s="45"/>
      <c r="AC66" s="45"/>
      <c r="AD66" s="45"/>
      <c r="AE66" s="45"/>
      <c r="AF66" s="45"/>
      <c r="AG66" s="15"/>
    </row>
    <row r="67" spans="1:33" ht="28.9">
      <c r="A67" s="47" t="s">
        <v>55</v>
      </c>
      <c r="B67" s="48"/>
      <c r="C67" s="48"/>
      <c r="D67" s="49"/>
      <c r="E67" s="49"/>
      <c r="F67" s="49"/>
      <c r="G67" s="49"/>
      <c r="H67" s="50"/>
      <c r="I67" s="36"/>
      <c r="J67" s="36"/>
      <c r="K67" s="20" t="s">
        <v>56</v>
      </c>
      <c r="L67" s="21"/>
      <c r="M67" s="21"/>
      <c r="N67" s="21"/>
      <c r="O67" s="21"/>
      <c r="P67" s="21"/>
      <c r="Q67" s="21"/>
      <c r="R67" s="21"/>
      <c r="S67" s="38"/>
      <c r="T67" s="37"/>
      <c r="U67" s="51"/>
      <c r="V67" s="40"/>
      <c r="W67" s="6"/>
      <c r="X67" s="41"/>
      <c r="Y67" s="45"/>
      <c r="Z67" s="46"/>
      <c r="AA67" s="45"/>
      <c r="AB67" s="45"/>
      <c r="AC67" s="45"/>
      <c r="AD67" s="45"/>
      <c r="AE67" s="45"/>
      <c r="AF67" s="45"/>
      <c r="AG67" s="15"/>
    </row>
    <row r="68" spans="1:33" ht="28.9">
      <c r="A68" s="52" t="s">
        <v>57</v>
      </c>
      <c r="B68" s="53"/>
      <c r="C68" s="53"/>
      <c r="D68" s="53"/>
      <c r="E68" s="53"/>
      <c r="F68" s="53"/>
      <c r="G68" s="53"/>
      <c r="H68" s="54"/>
      <c r="I68" s="36"/>
      <c r="J68" s="36"/>
      <c r="K68" s="20" t="s">
        <v>58</v>
      </c>
      <c r="L68" s="21"/>
      <c r="M68" s="21"/>
      <c r="N68" s="21"/>
      <c r="O68" s="21"/>
      <c r="P68" s="21"/>
      <c r="Q68" s="21" t="s">
        <v>59</v>
      </c>
      <c r="R68" s="21"/>
      <c r="S68" s="38"/>
      <c r="T68" s="37"/>
      <c r="U68" s="39"/>
      <c r="V68" s="40"/>
      <c r="W68" s="6"/>
      <c r="X68" s="41"/>
      <c r="Y68" s="45"/>
      <c r="Z68" s="46"/>
      <c r="AA68" s="45"/>
      <c r="AB68" s="45"/>
      <c r="AC68" s="45"/>
      <c r="AD68" s="45"/>
      <c r="AE68" s="45"/>
      <c r="AF68" s="45"/>
      <c r="AG68" s="55"/>
    </row>
    <row r="69" spans="1:33" ht="29.45" thickBot="1">
      <c r="A69" s="78" t="s">
        <v>60</v>
      </c>
      <c r="B69" s="79"/>
      <c r="C69" s="79"/>
      <c r="D69" s="80"/>
      <c r="E69" s="80"/>
      <c r="F69" s="80"/>
      <c r="G69" s="80"/>
      <c r="H69" s="81"/>
      <c r="I69" s="6"/>
      <c r="J69" s="6"/>
      <c r="K69" s="20" t="s">
        <v>61</v>
      </c>
      <c r="L69" s="21"/>
      <c r="M69" s="21"/>
      <c r="N69" s="21"/>
      <c r="O69" s="21"/>
      <c r="P69" s="21"/>
      <c r="Q69" s="21"/>
      <c r="R69" s="21"/>
      <c r="S69" s="38"/>
      <c r="T69" s="37"/>
      <c r="U69" s="51"/>
      <c r="V69" s="6"/>
      <c r="W69" s="6"/>
      <c r="X69" s="41"/>
      <c r="Y69" s="45"/>
      <c r="Z69" s="46"/>
      <c r="AA69" s="45"/>
      <c r="AB69" s="45"/>
      <c r="AC69" s="45"/>
      <c r="AD69" s="45"/>
      <c r="AE69" s="45"/>
      <c r="AF69" s="45"/>
      <c r="AG69" s="55"/>
    </row>
    <row r="70" spans="1:33" ht="29.45" thickBot="1">
      <c r="A70" s="82" t="s">
        <v>62</v>
      </c>
      <c r="B70" s="83"/>
      <c r="C70" s="83"/>
      <c r="D70" s="83"/>
      <c r="E70" s="83"/>
      <c r="F70" s="83"/>
      <c r="G70" s="83"/>
      <c r="H70" s="84"/>
      <c r="I70" s="6"/>
      <c r="J70" s="6"/>
      <c r="K70" s="63" t="s">
        <v>63</v>
      </c>
      <c r="L70" s="64"/>
      <c r="M70" s="64"/>
      <c r="N70" s="64"/>
      <c r="O70" s="64"/>
      <c r="P70" s="64"/>
      <c r="Q70" s="64"/>
      <c r="R70" s="64"/>
      <c r="S70" s="65"/>
      <c r="T70" s="66"/>
      <c r="U70" s="67"/>
      <c r="V70" s="6"/>
      <c r="W70" s="6"/>
      <c r="X70" s="68"/>
      <c r="Y70" s="69"/>
      <c r="Z70" s="70"/>
      <c r="AA70" s="69"/>
      <c r="AB70" s="69"/>
      <c r="AC70" s="69"/>
      <c r="AD70" s="69"/>
      <c r="AE70" s="69"/>
      <c r="AF70" s="69"/>
      <c r="AG70" s="71"/>
    </row>
    <row r="71" spans="1:33" ht="28.9">
      <c r="A71" s="6"/>
      <c r="B71" s="6"/>
      <c r="C71" s="6"/>
      <c r="D71" s="6"/>
      <c r="E71" s="6"/>
      <c r="F71" s="6"/>
      <c r="G71" s="6"/>
      <c r="H71" s="6"/>
      <c r="I71" s="6"/>
      <c r="J71" s="72"/>
      <c r="K71" s="73"/>
      <c r="L71" s="74"/>
      <c r="M71" s="74"/>
      <c r="N71" s="74"/>
      <c r="O71" s="74"/>
      <c r="P71" s="74"/>
      <c r="Q71" s="74"/>
      <c r="R71" s="72"/>
      <c r="S71" s="72"/>
      <c r="T71" s="72"/>
      <c r="U71" s="72"/>
      <c r="V71" s="72"/>
      <c r="W71" s="72"/>
      <c r="X71" s="72"/>
      <c r="Y71" s="72"/>
      <c r="Z71" s="6"/>
      <c r="AA71" s="6"/>
      <c r="AB71" s="6"/>
      <c r="AC71" s="6"/>
      <c r="AD71" s="6"/>
      <c r="AE71" s="6"/>
      <c r="AF71" s="6"/>
      <c r="AG71" s="6"/>
    </row>
    <row r="72" spans="1:33" ht="28.9">
      <c r="A72" s="6" t="s">
        <v>64</v>
      </c>
      <c r="B72" s="6"/>
      <c r="C72" s="6"/>
      <c r="D72" s="6"/>
      <c r="E72" s="6"/>
      <c r="F72" s="6"/>
      <c r="G72" s="6"/>
      <c r="H72" s="6" t="s">
        <v>65</v>
      </c>
      <c r="I72" s="6"/>
      <c r="J72" s="72"/>
      <c r="K72" s="73"/>
      <c r="L72" s="74"/>
      <c r="M72" s="74"/>
      <c r="N72" s="74"/>
      <c r="O72" s="74"/>
      <c r="P72" s="74" t="s">
        <v>66</v>
      </c>
      <c r="Q72" s="74"/>
      <c r="R72" s="72"/>
      <c r="S72" s="72"/>
      <c r="T72" s="72"/>
      <c r="U72" s="72"/>
      <c r="V72" s="72"/>
      <c r="W72" s="72"/>
      <c r="X72" s="72"/>
      <c r="Y72" s="72"/>
      <c r="Z72" s="6"/>
      <c r="AA72" s="6" t="s">
        <v>72</v>
      </c>
      <c r="AB72" s="6"/>
      <c r="AC72" s="6"/>
      <c r="AD72" s="6"/>
      <c r="AE72" s="6"/>
      <c r="AF72" s="6"/>
      <c r="AG72" s="6"/>
    </row>
    <row r="73" spans="1:33" ht="28.9">
      <c r="A73" s="6"/>
      <c r="B73" s="6"/>
      <c r="C73" s="6"/>
      <c r="D73" s="6"/>
      <c r="E73" s="6"/>
      <c r="F73" s="6"/>
      <c r="G73" s="6"/>
      <c r="H73" s="6"/>
      <c r="I73" s="6"/>
      <c r="J73" s="72"/>
      <c r="K73" s="73"/>
      <c r="L73" s="74"/>
      <c r="M73" s="74"/>
      <c r="N73" s="74"/>
      <c r="O73" s="74"/>
      <c r="P73" s="74" t="s">
        <v>68</v>
      </c>
      <c r="Q73" s="74"/>
      <c r="R73" s="72"/>
      <c r="S73" s="72"/>
      <c r="T73" s="72"/>
      <c r="U73" s="72"/>
      <c r="V73" s="72"/>
      <c r="W73" s="72"/>
      <c r="X73" s="72"/>
      <c r="Y73" s="72"/>
      <c r="Z73" s="6"/>
      <c r="AA73" s="6"/>
      <c r="AB73" s="6"/>
      <c r="AC73" s="6"/>
      <c r="AD73" s="6"/>
      <c r="AE73" s="6"/>
      <c r="AF73" s="6"/>
    </row>
    <row r="74" spans="1:33" ht="28.9">
      <c r="A74" s="6"/>
      <c r="B74" s="6"/>
      <c r="C74" s="6"/>
      <c r="D74" s="6"/>
      <c r="E74" s="6"/>
      <c r="F74" s="6"/>
      <c r="G74" s="6"/>
      <c r="H74" s="6"/>
      <c r="I74" s="6"/>
      <c r="J74" s="72"/>
      <c r="K74" s="73"/>
      <c r="L74" s="74"/>
      <c r="M74" s="74"/>
      <c r="N74" s="74"/>
      <c r="O74" s="74"/>
      <c r="P74" s="74"/>
      <c r="Q74" s="74"/>
      <c r="R74" s="72"/>
      <c r="S74" s="72"/>
      <c r="T74" s="72"/>
      <c r="U74" s="72"/>
      <c r="V74" s="72"/>
      <c r="W74" s="72"/>
      <c r="X74" s="72"/>
      <c r="Y74" s="72"/>
      <c r="Z74" s="6"/>
      <c r="AA74" s="6"/>
      <c r="AB74" s="6"/>
      <c r="AC74" s="6"/>
      <c r="AD74" s="6"/>
      <c r="AE74" s="6"/>
      <c r="AF74" s="6"/>
    </row>
    <row r="75" spans="1:33" ht="28.9">
      <c r="A75" s="6"/>
      <c r="B75" s="6"/>
      <c r="C75" s="6"/>
      <c r="D75" s="6"/>
      <c r="E75" s="6"/>
      <c r="F75" s="6"/>
      <c r="G75" s="6"/>
      <c r="H75" s="6"/>
      <c r="I75" s="6"/>
      <c r="J75" s="72"/>
      <c r="K75" s="73"/>
      <c r="L75" s="74"/>
      <c r="M75" s="74"/>
      <c r="N75" s="74"/>
      <c r="O75" s="74"/>
      <c r="P75" s="74"/>
      <c r="Q75" s="74"/>
      <c r="R75" s="72"/>
      <c r="S75" s="72"/>
      <c r="T75" s="72"/>
      <c r="U75" s="72"/>
      <c r="V75" s="72"/>
      <c r="W75" s="72"/>
      <c r="X75" s="72"/>
      <c r="Y75" s="72"/>
      <c r="Z75" s="6"/>
      <c r="AA75" s="6"/>
      <c r="AB75" s="6"/>
      <c r="AC75" s="6"/>
      <c r="AD75" s="6"/>
      <c r="AE75" s="6"/>
      <c r="AF75" s="6"/>
    </row>
    <row r="76" spans="1:33" ht="28.9">
      <c r="A76" s="6"/>
      <c r="B76" s="6"/>
      <c r="C76" s="6"/>
      <c r="D76" s="6"/>
      <c r="E76" s="6"/>
      <c r="F76" s="6"/>
      <c r="G76" s="6"/>
      <c r="H76" s="6"/>
      <c r="I76" s="6"/>
      <c r="J76" s="72"/>
      <c r="K76" s="73"/>
      <c r="L76" s="74"/>
      <c r="M76" s="74"/>
      <c r="N76" s="74"/>
      <c r="O76" s="74"/>
      <c r="P76" s="74"/>
      <c r="Q76" s="74"/>
      <c r="R76" s="72"/>
      <c r="S76" s="72"/>
      <c r="T76" s="72"/>
      <c r="U76" s="72"/>
      <c r="V76" s="72"/>
      <c r="W76" s="72"/>
      <c r="X76" s="72"/>
      <c r="Y76" s="72"/>
      <c r="Z76" s="6"/>
      <c r="AA76" s="6"/>
      <c r="AB76" s="6"/>
      <c r="AC76" s="6"/>
      <c r="AD76" s="6"/>
      <c r="AE76" s="6"/>
      <c r="AF76" s="6"/>
    </row>
    <row r="77" spans="1:33">
      <c r="A77" s="680"/>
      <c r="B77" s="681"/>
      <c r="C77" s="681"/>
      <c r="D77" s="681"/>
      <c r="E77" s="681"/>
      <c r="F77" s="681"/>
      <c r="G77" s="681"/>
      <c r="H77" s="681"/>
      <c r="I77" s="681"/>
      <c r="J77" s="681"/>
      <c r="K77" s="681"/>
      <c r="L77" s="681"/>
      <c r="M77" s="681"/>
      <c r="N77" s="681"/>
      <c r="O77" s="681"/>
      <c r="P77" s="681"/>
      <c r="Q77" s="681"/>
      <c r="R77" s="681"/>
      <c r="S77" s="681"/>
      <c r="T77" s="681"/>
      <c r="U77" s="681"/>
      <c r="V77" s="681"/>
      <c r="W77" s="681"/>
      <c r="X77" s="681"/>
      <c r="Y77" s="681"/>
      <c r="Z77" s="681"/>
      <c r="AA77" s="681"/>
      <c r="AB77" s="681"/>
      <c r="AC77" s="681"/>
      <c r="AD77" s="681"/>
      <c r="AE77" s="681"/>
      <c r="AF77" s="681"/>
    </row>
    <row r="78" spans="1:33">
      <c r="A78" s="681"/>
      <c r="B78" s="681"/>
      <c r="C78" s="681"/>
      <c r="D78" s="681"/>
      <c r="E78" s="681"/>
      <c r="F78" s="681"/>
      <c r="G78" s="681"/>
      <c r="H78" s="681"/>
      <c r="I78" s="681"/>
      <c r="J78" s="681"/>
      <c r="K78" s="681"/>
      <c r="L78" s="681"/>
      <c r="M78" s="681"/>
      <c r="N78" s="681"/>
      <c r="O78" s="681"/>
      <c r="P78" s="681"/>
      <c r="Q78" s="681"/>
      <c r="R78" s="681"/>
      <c r="S78" s="681"/>
      <c r="T78" s="681"/>
      <c r="U78" s="681"/>
      <c r="V78" s="681"/>
      <c r="W78" s="681"/>
      <c r="X78" s="681"/>
      <c r="Y78" s="681"/>
      <c r="Z78" s="681"/>
      <c r="AA78" s="681"/>
      <c r="AB78" s="681"/>
      <c r="AC78" s="681"/>
      <c r="AD78" s="681"/>
      <c r="AE78" s="681"/>
      <c r="AF78" s="681"/>
    </row>
    <row r="79" spans="1:33">
      <c r="A79" s="704"/>
      <c r="B79" s="704"/>
      <c r="C79" s="704"/>
      <c r="D79" s="704"/>
      <c r="E79" s="704"/>
      <c r="F79" s="704"/>
      <c r="G79" s="704"/>
      <c r="H79" s="704"/>
      <c r="I79" s="704"/>
      <c r="J79" s="704"/>
      <c r="K79" s="704"/>
      <c r="L79" s="704"/>
      <c r="M79" s="704"/>
      <c r="N79" s="704"/>
      <c r="O79" s="704"/>
      <c r="P79" s="704"/>
      <c r="Q79" s="704"/>
      <c r="R79" s="704"/>
      <c r="S79" s="704"/>
      <c r="T79" s="704"/>
      <c r="U79" s="704"/>
      <c r="V79" s="704"/>
      <c r="W79" s="704"/>
      <c r="X79" s="704"/>
      <c r="Y79" s="704"/>
      <c r="Z79" s="704"/>
      <c r="AA79" s="704"/>
      <c r="AB79" s="704"/>
      <c r="AC79" s="704"/>
      <c r="AD79" s="704"/>
      <c r="AE79" s="704"/>
      <c r="AF79" s="704"/>
    </row>
    <row r="80" spans="1:33">
      <c r="A80" s="704"/>
      <c r="B80" s="704"/>
      <c r="C80" s="704"/>
      <c r="D80" s="704"/>
      <c r="E80" s="704"/>
      <c r="F80" s="704"/>
      <c r="G80" s="704"/>
      <c r="H80" s="704"/>
      <c r="I80" s="704"/>
      <c r="J80" s="704"/>
      <c r="K80" s="704"/>
      <c r="L80" s="704"/>
      <c r="M80" s="704"/>
      <c r="N80" s="704"/>
      <c r="O80" s="704"/>
      <c r="P80" s="704"/>
      <c r="Q80" s="704"/>
      <c r="R80" s="704"/>
      <c r="S80" s="704"/>
      <c r="T80" s="704"/>
      <c r="U80" s="704"/>
      <c r="V80" s="704"/>
      <c r="W80" s="704"/>
      <c r="X80" s="704"/>
      <c r="Y80" s="704"/>
      <c r="Z80" s="704"/>
      <c r="AA80" s="704"/>
      <c r="AB80" s="704"/>
      <c r="AC80" s="704"/>
      <c r="AD80" s="704"/>
      <c r="AE80" s="704"/>
      <c r="AF80" s="704"/>
    </row>
  </sheetData>
  <mergeCells count="3">
    <mergeCell ref="A60:A61"/>
    <mergeCell ref="X65:AG65"/>
    <mergeCell ref="A77:AF80"/>
  </mergeCells>
  <pageMargins left="0.7" right="0.7" top="0.75" bottom="0.75" header="0.3" footer="0.3"/>
  <pageSetup paperSize="9" orientation="landscape"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086D2-F37F-1744-8474-F3D61BC25BAE}">
  <sheetPr codeName="Sheet11"/>
  <dimension ref="A1:AE73"/>
  <sheetViews>
    <sheetView showGridLines="0" zoomScale="50" zoomScaleNormal="38" workbookViewId="0">
      <selection activeCell="AA22" sqref="AA22"/>
    </sheetView>
  </sheetViews>
  <sheetFormatPr defaultColWidth="8.7109375" defaultRowHeight="14.45"/>
  <cols>
    <col min="1" max="1" width="20.7109375" customWidth="1"/>
    <col min="4" max="4" width="8.7109375" style="1"/>
    <col min="9" max="29" width="9" bestFit="1" customWidth="1"/>
    <col min="30" max="30" width="11" bestFit="1" customWidth="1"/>
    <col min="31" max="31" width="20" customWidth="1"/>
  </cols>
  <sheetData>
    <row r="1" spans="1:31" ht="28.15" thickBot="1">
      <c r="A1" s="168" t="s">
        <v>0</v>
      </c>
      <c r="B1" s="332">
        <v>1</v>
      </c>
      <c r="C1" s="156">
        <v>2</v>
      </c>
      <c r="D1" s="156">
        <v>3</v>
      </c>
      <c r="E1" s="75">
        <v>4</v>
      </c>
      <c r="F1" s="156">
        <v>5</v>
      </c>
      <c r="G1" s="155">
        <v>6</v>
      </c>
      <c r="H1" s="155">
        <v>7</v>
      </c>
      <c r="I1" s="156">
        <v>8</v>
      </c>
      <c r="J1" s="156">
        <v>9</v>
      </c>
      <c r="K1" s="156">
        <v>10</v>
      </c>
      <c r="L1" s="420">
        <v>11</v>
      </c>
      <c r="M1" s="331">
        <v>12</v>
      </c>
      <c r="N1" s="158">
        <v>13</v>
      </c>
      <c r="O1" s="155">
        <v>14</v>
      </c>
      <c r="P1" s="157">
        <v>15</v>
      </c>
      <c r="Q1" s="156">
        <v>16</v>
      </c>
      <c r="R1" s="157">
        <v>17</v>
      </c>
      <c r="S1" s="156">
        <v>18</v>
      </c>
      <c r="T1" s="156">
        <v>19</v>
      </c>
      <c r="U1" s="158">
        <v>20</v>
      </c>
      <c r="V1" s="155">
        <v>21</v>
      </c>
      <c r="W1" s="157">
        <v>22</v>
      </c>
      <c r="X1" s="156">
        <v>23</v>
      </c>
      <c r="Y1" s="157">
        <v>24</v>
      </c>
      <c r="Z1" s="421">
        <v>25</v>
      </c>
      <c r="AA1" s="157">
        <v>26</v>
      </c>
      <c r="AB1" s="161">
        <v>27</v>
      </c>
      <c r="AC1" s="159">
        <v>28</v>
      </c>
      <c r="AD1" s="176" t="s">
        <v>1</v>
      </c>
      <c r="AE1" s="485" t="s">
        <v>2</v>
      </c>
    </row>
    <row r="2" spans="1:31" ht="29.45" thickBot="1">
      <c r="A2" s="169" t="s">
        <v>83</v>
      </c>
      <c r="B2" s="119" t="s">
        <v>9</v>
      </c>
      <c r="C2" s="120" t="s">
        <v>10</v>
      </c>
      <c r="D2" s="120" t="s">
        <v>4</v>
      </c>
      <c r="E2" s="120" t="s">
        <v>5</v>
      </c>
      <c r="F2" s="120" t="s">
        <v>6</v>
      </c>
      <c r="G2" s="346" t="s">
        <v>7</v>
      </c>
      <c r="H2" s="181" t="s">
        <v>8</v>
      </c>
      <c r="I2" s="119" t="s">
        <v>9</v>
      </c>
      <c r="J2" s="120" t="s">
        <v>10</v>
      </c>
      <c r="K2" s="120" t="s">
        <v>4</v>
      </c>
      <c r="L2" s="407" t="s">
        <v>5</v>
      </c>
      <c r="M2" s="120" t="s">
        <v>6</v>
      </c>
      <c r="N2" s="346" t="s">
        <v>7</v>
      </c>
      <c r="O2" s="181" t="s">
        <v>8</v>
      </c>
      <c r="P2" s="119" t="s">
        <v>9</v>
      </c>
      <c r="Q2" s="120" t="s">
        <v>10</v>
      </c>
      <c r="R2" s="120" t="s">
        <v>4</v>
      </c>
      <c r="S2" s="120" t="s">
        <v>5</v>
      </c>
      <c r="T2" s="120" t="s">
        <v>6</v>
      </c>
      <c r="U2" s="346" t="s">
        <v>7</v>
      </c>
      <c r="V2" s="181" t="s">
        <v>8</v>
      </c>
      <c r="W2" s="119" t="s">
        <v>9</v>
      </c>
      <c r="X2" s="120" t="s">
        <v>10</v>
      </c>
      <c r="Y2" s="120" t="s">
        <v>4</v>
      </c>
      <c r="Z2" s="407" t="s">
        <v>5</v>
      </c>
      <c r="AA2" s="120" t="s">
        <v>6</v>
      </c>
      <c r="AB2" s="346" t="s">
        <v>7</v>
      </c>
      <c r="AC2" s="181" t="s">
        <v>8</v>
      </c>
      <c r="AD2" s="175">
        <f>SUM(AD5,AD8,AD11,AD17,AD20,AD23,AD26,AD29,AD32,AD35,AD38,AD41,AD44,AD47,AD50,AD53,AD56,AD59)</f>
        <v>54</v>
      </c>
      <c r="AE2" s="486" t="s">
        <v>11</v>
      </c>
    </row>
    <row r="3" spans="1:31" ht="28.9" thickBot="1">
      <c r="A3" s="146" t="s">
        <v>12</v>
      </c>
      <c r="B3" s="630" t="s">
        <v>13</v>
      </c>
      <c r="C3" s="623" t="s">
        <v>13</v>
      </c>
      <c r="D3" s="623" t="s">
        <v>13</v>
      </c>
      <c r="E3" s="623" t="s">
        <v>13</v>
      </c>
      <c r="F3" s="623" t="s">
        <v>13</v>
      </c>
      <c r="G3" s="623"/>
      <c r="H3" s="623"/>
      <c r="I3" s="219" t="s">
        <v>13</v>
      </c>
      <c r="J3" s="219" t="s">
        <v>13</v>
      </c>
      <c r="K3" s="219" t="s">
        <v>13</v>
      </c>
      <c r="L3" s="371" t="s">
        <v>13</v>
      </c>
      <c r="M3" s="221" t="s">
        <v>13</v>
      </c>
      <c r="N3" s="114"/>
      <c r="O3" s="114"/>
      <c r="P3" s="623" t="s">
        <v>13</v>
      </c>
      <c r="Q3" s="623" t="s">
        <v>13</v>
      </c>
      <c r="R3" s="623" t="s">
        <v>13</v>
      </c>
      <c r="S3" s="623" t="s">
        <v>13</v>
      </c>
      <c r="T3" s="623" t="s">
        <v>13</v>
      </c>
      <c r="U3" s="626"/>
      <c r="V3" s="623"/>
      <c r="W3" s="219" t="s">
        <v>13</v>
      </c>
      <c r="X3" s="220" t="s">
        <v>13</v>
      </c>
      <c r="Y3" s="220" t="s">
        <v>13</v>
      </c>
      <c r="Z3" s="382" t="s">
        <v>13</v>
      </c>
      <c r="AA3" s="221" t="s">
        <v>13</v>
      </c>
      <c r="AB3" s="114"/>
      <c r="AC3" s="114"/>
      <c r="AD3" s="556">
        <f t="shared" ref="AD3:AD29" si="0">SUM(B3:AC3)</f>
        <v>0</v>
      </c>
      <c r="AE3" s="487"/>
    </row>
    <row r="4" spans="1:31" ht="28.9" thickBot="1">
      <c r="A4" s="146" t="s">
        <v>14</v>
      </c>
      <c r="B4" s="224">
        <v>7.5</v>
      </c>
      <c r="C4" s="224">
        <v>7.5</v>
      </c>
      <c r="D4" s="224">
        <v>7.5</v>
      </c>
      <c r="E4" s="224">
        <v>7.5</v>
      </c>
      <c r="F4" s="224">
        <v>7.5</v>
      </c>
      <c r="G4" s="103"/>
      <c r="H4" s="103"/>
      <c r="I4" s="224">
        <v>7.5</v>
      </c>
      <c r="J4" s="224">
        <v>7.5</v>
      </c>
      <c r="K4" s="224">
        <v>7.5</v>
      </c>
      <c r="L4" s="372">
        <v>7.5</v>
      </c>
      <c r="M4" s="224">
        <v>7.5</v>
      </c>
      <c r="N4" s="103"/>
      <c r="O4" s="103"/>
      <c r="P4" s="224">
        <v>7.5</v>
      </c>
      <c r="Q4" s="224">
        <v>7.5</v>
      </c>
      <c r="R4" s="224">
        <v>7.5</v>
      </c>
      <c r="S4" s="224">
        <v>7.5</v>
      </c>
      <c r="T4" s="224">
        <v>7.5</v>
      </c>
      <c r="U4" s="103"/>
      <c r="V4" s="103"/>
      <c r="W4" s="224">
        <v>7.5</v>
      </c>
      <c r="X4" s="224">
        <v>7.5</v>
      </c>
      <c r="Y4" s="224">
        <v>7.5</v>
      </c>
      <c r="Z4" s="372">
        <v>7.5</v>
      </c>
      <c r="AA4" s="224">
        <v>7.5</v>
      </c>
      <c r="AB4" s="103"/>
      <c r="AC4" s="103"/>
      <c r="AD4" s="560">
        <f t="shared" si="0"/>
        <v>150</v>
      </c>
      <c r="AE4" s="488"/>
    </row>
    <row r="5" spans="1:31" ht="28.9" thickBot="1">
      <c r="A5" s="368" t="s">
        <v>15</v>
      </c>
      <c r="B5" s="259"/>
      <c r="C5" s="232"/>
      <c r="D5" s="232"/>
      <c r="E5" s="260"/>
      <c r="F5" s="232"/>
      <c r="G5" s="137"/>
      <c r="H5" s="137"/>
      <c r="I5" s="232"/>
      <c r="J5" s="232"/>
      <c r="K5" s="233"/>
      <c r="L5" s="377"/>
      <c r="M5" s="233"/>
      <c r="N5" s="137"/>
      <c r="O5" s="139"/>
      <c r="P5" s="232"/>
      <c r="Q5" s="233"/>
      <c r="R5" s="232"/>
      <c r="S5" s="232"/>
      <c r="T5" s="233"/>
      <c r="U5" s="137"/>
      <c r="V5" s="139"/>
      <c r="W5" s="232"/>
      <c r="X5" s="233"/>
      <c r="Y5" s="232"/>
      <c r="Z5" s="406"/>
      <c r="AA5" s="231"/>
      <c r="AB5" s="137"/>
      <c r="AC5" s="139"/>
      <c r="AD5" s="561">
        <f t="shared" si="0"/>
        <v>0</v>
      </c>
      <c r="AE5" s="489"/>
    </row>
    <row r="6" spans="1:31" ht="28.9" thickBot="1">
      <c r="A6" s="146" t="s">
        <v>16</v>
      </c>
      <c r="B6" s="218" t="s">
        <v>13</v>
      </c>
      <c r="C6" s="219" t="s">
        <v>13</v>
      </c>
      <c r="D6" s="219" t="s">
        <v>13</v>
      </c>
      <c r="E6" s="219" t="s">
        <v>13</v>
      </c>
      <c r="F6" s="219" t="s">
        <v>13</v>
      </c>
      <c r="G6" s="114"/>
      <c r="H6" s="114"/>
      <c r="I6" s="623" t="s">
        <v>13</v>
      </c>
      <c r="J6" s="623" t="s">
        <v>13</v>
      </c>
      <c r="K6" s="623" t="s">
        <v>13</v>
      </c>
      <c r="L6" s="623" t="s">
        <v>13</v>
      </c>
      <c r="M6" s="625" t="s">
        <v>13</v>
      </c>
      <c r="N6" s="623"/>
      <c r="O6" s="623"/>
      <c r="P6" s="219" t="s">
        <v>13</v>
      </c>
      <c r="Q6" s="219" t="s">
        <v>13</v>
      </c>
      <c r="R6" s="219" t="s">
        <v>13</v>
      </c>
      <c r="S6" s="219" t="s">
        <v>13</v>
      </c>
      <c r="T6" s="219" t="s">
        <v>13</v>
      </c>
      <c r="U6" s="105"/>
      <c r="V6" s="114"/>
      <c r="W6" s="623" t="s">
        <v>13</v>
      </c>
      <c r="X6" s="624" t="s">
        <v>13</v>
      </c>
      <c r="Y6" s="624" t="s">
        <v>13</v>
      </c>
      <c r="Z6" s="624" t="s">
        <v>13</v>
      </c>
      <c r="AA6" s="625" t="s">
        <v>13</v>
      </c>
      <c r="AB6" s="623"/>
      <c r="AC6" s="623"/>
      <c r="AD6" s="556">
        <f t="shared" si="0"/>
        <v>0</v>
      </c>
      <c r="AE6" s="490"/>
    </row>
    <row r="7" spans="1:31" ht="28.9" thickBot="1">
      <c r="A7" s="146" t="s">
        <v>19</v>
      </c>
      <c r="B7" s="224">
        <v>7.5</v>
      </c>
      <c r="C7" s="224">
        <v>7.5</v>
      </c>
      <c r="D7" s="224">
        <v>7.5</v>
      </c>
      <c r="E7" s="224">
        <v>7.5</v>
      </c>
      <c r="F7" s="224">
        <v>7.5</v>
      </c>
      <c r="G7" s="103"/>
      <c r="H7" s="103"/>
      <c r="I7" s="224">
        <v>7.5</v>
      </c>
      <c r="J7" s="224">
        <v>7.5</v>
      </c>
      <c r="K7" s="224">
        <v>7.5</v>
      </c>
      <c r="L7" s="372">
        <v>7.5</v>
      </c>
      <c r="M7" s="224">
        <v>7.5</v>
      </c>
      <c r="N7" s="103"/>
      <c r="O7" s="103"/>
      <c r="P7" s="224">
        <v>7.5</v>
      </c>
      <c r="Q7" s="224">
        <v>7.5</v>
      </c>
      <c r="R7" s="224">
        <v>7.5</v>
      </c>
      <c r="S7" s="224">
        <v>7.5</v>
      </c>
      <c r="T7" s="224">
        <v>7.5</v>
      </c>
      <c r="U7" s="103"/>
      <c r="V7" s="103"/>
      <c r="W7" s="224">
        <v>7.5</v>
      </c>
      <c r="X7" s="224">
        <v>7.5</v>
      </c>
      <c r="Y7" s="224">
        <v>7.5</v>
      </c>
      <c r="Z7" s="372">
        <v>7.5</v>
      </c>
      <c r="AA7" s="224">
        <v>7.5</v>
      </c>
      <c r="AB7" s="103"/>
      <c r="AC7" s="103"/>
      <c r="AD7" s="560">
        <f t="shared" si="0"/>
        <v>150</v>
      </c>
      <c r="AE7" s="491">
        <f>SUM(AD7-AD61)</f>
        <v>0</v>
      </c>
    </row>
    <row r="8" spans="1:31" ht="28.9" thickBot="1">
      <c r="A8" s="368" t="s">
        <v>20</v>
      </c>
      <c r="B8" s="226"/>
      <c r="C8" s="227"/>
      <c r="D8" s="227"/>
      <c r="E8" s="228"/>
      <c r="F8" s="227"/>
      <c r="G8" s="133"/>
      <c r="H8" s="133"/>
      <c r="I8" s="227"/>
      <c r="J8" s="227"/>
      <c r="K8" s="229"/>
      <c r="L8" s="373"/>
      <c r="M8" s="229"/>
      <c r="N8" s="133"/>
      <c r="O8" s="134"/>
      <c r="P8" s="227"/>
      <c r="Q8" s="229"/>
      <c r="R8" s="227"/>
      <c r="S8" s="227"/>
      <c r="T8" s="229"/>
      <c r="U8" s="133"/>
      <c r="V8" s="134"/>
      <c r="W8" s="227"/>
      <c r="X8" s="229"/>
      <c r="Y8" s="227"/>
      <c r="Z8" s="395"/>
      <c r="AA8" s="230"/>
      <c r="AB8" s="133"/>
      <c r="AC8" s="646"/>
      <c r="AD8" s="561">
        <f t="shared" si="0"/>
        <v>0</v>
      </c>
      <c r="AE8" s="492"/>
    </row>
    <row r="9" spans="1:31" ht="28.9" thickBot="1">
      <c r="A9" s="146" t="s">
        <v>21</v>
      </c>
      <c r="B9" s="450"/>
      <c r="C9" s="297"/>
      <c r="D9" s="297"/>
      <c r="E9" s="300" t="s">
        <v>18</v>
      </c>
      <c r="F9" s="300" t="s">
        <v>18</v>
      </c>
      <c r="G9" s="117"/>
      <c r="H9" s="117"/>
      <c r="I9" s="297"/>
      <c r="J9" s="300"/>
      <c r="K9" s="297" t="s">
        <v>18</v>
      </c>
      <c r="L9" s="419" t="s">
        <v>18</v>
      </c>
      <c r="M9" s="297"/>
      <c r="N9" s="117"/>
      <c r="O9" s="117"/>
      <c r="P9" s="300"/>
      <c r="Q9" s="432" t="s">
        <v>18</v>
      </c>
      <c r="R9" s="297" t="s">
        <v>18</v>
      </c>
      <c r="S9" s="297"/>
      <c r="T9" s="297"/>
      <c r="U9" s="117"/>
      <c r="V9" s="117"/>
      <c r="W9" s="300" t="s">
        <v>18</v>
      </c>
      <c r="X9" s="300" t="s">
        <v>18</v>
      </c>
      <c r="Y9" s="297"/>
      <c r="Z9" s="419"/>
      <c r="AA9" s="297"/>
      <c r="AB9" s="117"/>
      <c r="AC9" s="116" t="s">
        <v>18</v>
      </c>
      <c r="AD9" s="556">
        <f t="shared" si="0"/>
        <v>0</v>
      </c>
      <c r="AE9" s="493"/>
    </row>
    <row r="10" spans="1:31" ht="28.9" thickBot="1">
      <c r="A10" s="146" t="s">
        <v>22</v>
      </c>
      <c r="B10" s="255"/>
      <c r="C10" s="246"/>
      <c r="D10" s="246"/>
      <c r="E10" s="248">
        <v>15</v>
      </c>
      <c r="F10" s="248">
        <v>15</v>
      </c>
      <c r="G10" s="108">
        <v>0.5</v>
      </c>
      <c r="H10" s="108"/>
      <c r="I10" s="246"/>
      <c r="J10" s="248"/>
      <c r="K10" s="246">
        <v>15</v>
      </c>
      <c r="L10" s="375">
        <v>15</v>
      </c>
      <c r="M10" s="246">
        <v>0.5</v>
      </c>
      <c r="N10" s="108"/>
      <c r="O10" s="108"/>
      <c r="P10" s="322"/>
      <c r="Q10" s="247">
        <v>15</v>
      </c>
      <c r="R10" s="246">
        <v>15</v>
      </c>
      <c r="S10" s="246">
        <v>0.5</v>
      </c>
      <c r="T10" s="246"/>
      <c r="U10" s="108"/>
      <c r="V10" s="108"/>
      <c r="W10" s="248">
        <v>15</v>
      </c>
      <c r="X10" s="248">
        <v>15</v>
      </c>
      <c r="Y10" s="246">
        <v>0.5</v>
      </c>
      <c r="Z10" s="375">
        <v>5</v>
      </c>
      <c r="AA10" s="247"/>
      <c r="AB10" s="108"/>
      <c r="AC10" s="107">
        <v>15</v>
      </c>
      <c r="AD10" s="560">
        <f t="shared" si="0"/>
        <v>142</v>
      </c>
      <c r="AE10" s="491">
        <f>SUM(AD10-AD61)</f>
        <v>-8</v>
      </c>
    </row>
    <row r="11" spans="1:31" ht="28.9" thickBot="1">
      <c r="A11" s="368" t="s">
        <v>23</v>
      </c>
      <c r="B11" s="226"/>
      <c r="C11" s="227"/>
      <c r="D11" s="227"/>
      <c r="E11" s="228">
        <v>1</v>
      </c>
      <c r="F11" s="227">
        <v>1</v>
      </c>
      <c r="G11" s="134"/>
      <c r="H11" s="133"/>
      <c r="I11" s="227"/>
      <c r="J11" s="229"/>
      <c r="K11" s="227">
        <v>1</v>
      </c>
      <c r="L11" s="380">
        <v>1</v>
      </c>
      <c r="M11" s="227"/>
      <c r="N11" s="134"/>
      <c r="O11" s="137"/>
      <c r="P11" s="233"/>
      <c r="Q11" s="230">
        <v>1</v>
      </c>
      <c r="R11" s="227">
        <v>1</v>
      </c>
      <c r="S11" s="229"/>
      <c r="T11" s="227"/>
      <c r="U11" s="133"/>
      <c r="V11" s="133"/>
      <c r="W11" s="227">
        <v>1</v>
      </c>
      <c r="X11" s="227">
        <v>1</v>
      </c>
      <c r="Y11" s="227"/>
      <c r="Z11" s="380"/>
      <c r="AA11" s="230"/>
      <c r="AB11" s="133"/>
      <c r="AC11" s="134">
        <v>1</v>
      </c>
      <c r="AD11" s="561">
        <f t="shared" si="0"/>
        <v>9</v>
      </c>
      <c r="AE11" s="494"/>
    </row>
    <row r="12" spans="1:31" ht="28.9" hidden="1" thickBot="1">
      <c r="A12" s="146"/>
      <c r="B12" s="218"/>
      <c r="C12" s="219"/>
      <c r="D12" s="219"/>
      <c r="E12" s="253"/>
      <c r="F12" s="222"/>
      <c r="G12" s="111"/>
      <c r="H12" s="105"/>
      <c r="I12" s="222"/>
      <c r="J12" s="253"/>
      <c r="K12" s="222"/>
      <c r="L12" s="379"/>
      <c r="M12" s="253"/>
      <c r="N12" s="105"/>
      <c r="O12" s="105"/>
      <c r="P12" s="253"/>
      <c r="Q12" s="256"/>
      <c r="R12" s="222"/>
      <c r="S12" s="253"/>
      <c r="T12" s="253"/>
      <c r="U12" s="111"/>
      <c r="V12" s="111"/>
      <c r="W12" s="253"/>
      <c r="X12" s="253"/>
      <c r="Y12" s="253"/>
      <c r="Z12" s="401"/>
      <c r="AA12" s="256"/>
      <c r="AB12" s="105"/>
      <c r="AC12" s="111"/>
      <c r="AD12" s="556">
        <f t="shared" si="0"/>
        <v>0</v>
      </c>
      <c r="AE12" s="490"/>
    </row>
    <row r="13" spans="1:31" ht="28.9" hidden="1" thickBot="1">
      <c r="A13" s="146"/>
      <c r="B13" s="255"/>
      <c r="C13" s="246"/>
      <c r="D13" s="246"/>
      <c r="E13" s="248"/>
      <c r="F13" s="246"/>
      <c r="G13" s="107"/>
      <c r="H13" s="108"/>
      <c r="I13" s="246"/>
      <c r="J13" s="248"/>
      <c r="K13" s="246"/>
      <c r="L13" s="376"/>
      <c r="M13" s="248"/>
      <c r="N13" s="108"/>
      <c r="O13" s="108"/>
      <c r="P13" s="248"/>
      <c r="Q13" s="247"/>
      <c r="R13" s="246"/>
      <c r="S13" s="248"/>
      <c r="T13" s="248"/>
      <c r="U13" s="107"/>
      <c r="V13" s="107"/>
      <c r="W13" s="248"/>
      <c r="X13" s="248"/>
      <c r="Y13" s="248"/>
      <c r="Z13" s="375"/>
      <c r="AA13" s="247"/>
      <c r="AB13" s="108"/>
      <c r="AC13" s="107"/>
      <c r="AD13" s="560">
        <f t="shared" si="0"/>
        <v>0</v>
      </c>
      <c r="AE13" s="491">
        <f>SUM(AD13-AD58)</f>
        <v>0</v>
      </c>
    </row>
    <row r="14" spans="1:31" ht="28.9" hidden="1" thickBot="1">
      <c r="A14" s="368"/>
      <c r="B14" s="226"/>
      <c r="C14" s="227"/>
      <c r="D14" s="227"/>
      <c r="E14" s="228"/>
      <c r="F14" s="228"/>
      <c r="G14" s="134"/>
      <c r="H14" s="133"/>
      <c r="I14" s="227"/>
      <c r="J14" s="229"/>
      <c r="K14" s="227"/>
      <c r="L14" s="380"/>
      <c r="M14" s="227"/>
      <c r="N14" s="134"/>
      <c r="O14" s="133"/>
      <c r="P14" s="229"/>
      <c r="Q14" s="230"/>
      <c r="R14" s="227"/>
      <c r="S14" s="229"/>
      <c r="T14" s="227"/>
      <c r="U14" s="133"/>
      <c r="V14" s="133"/>
      <c r="W14" s="227"/>
      <c r="X14" s="227"/>
      <c r="Y14" s="227"/>
      <c r="Z14" s="380"/>
      <c r="AA14" s="230"/>
      <c r="AB14" s="133"/>
      <c r="AC14" s="134"/>
      <c r="AD14" s="561">
        <f t="shared" si="0"/>
        <v>0</v>
      </c>
      <c r="AE14" s="494"/>
    </row>
    <row r="15" spans="1:31" ht="28.9" thickBot="1">
      <c r="A15" s="146" t="s">
        <v>24</v>
      </c>
      <c r="B15" s="218"/>
      <c r="C15" s="219" t="s">
        <v>18</v>
      </c>
      <c r="D15" s="219" t="s">
        <v>18</v>
      </c>
      <c r="E15" s="253"/>
      <c r="F15" s="222"/>
      <c r="G15" s="111"/>
      <c r="H15" s="105"/>
      <c r="I15" s="222" t="s">
        <v>18</v>
      </c>
      <c r="J15" s="253" t="s">
        <v>18</v>
      </c>
      <c r="K15" s="222"/>
      <c r="L15" s="379"/>
      <c r="M15" s="253"/>
      <c r="N15" s="105"/>
      <c r="O15" s="105" t="s">
        <v>18</v>
      </c>
      <c r="P15" s="253" t="s">
        <v>18</v>
      </c>
      <c r="Q15" s="256"/>
      <c r="R15" s="222"/>
      <c r="S15" s="253"/>
      <c r="T15" s="253"/>
      <c r="U15" s="111" t="s">
        <v>18</v>
      </c>
      <c r="V15" s="111" t="s">
        <v>18</v>
      </c>
      <c r="W15" s="253"/>
      <c r="X15" s="253"/>
      <c r="Y15" s="253"/>
      <c r="Z15" s="401"/>
      <c r="AA15" s="256" t="s">
        <v>18</v>
      </c>
      <c r="AB15" s="105" t="s">
        <v>18</v>
      </c>
      <c r="AC15" s="111"/>
      <c r="AD15" s="556">
        <f t="shared" si="0"/>
        <v>0</v>
      </c>
      <c r="AE15" s="490"/>
    </row>
    <row r="16" spans="1:31" ht="28.9" thickBot="1">
      <c r="A16" s="146" t="s">
        <v>25</v>
      </c>
      <c r="B16" s="255"/>
      <c r="C16" s="246">
        <v>15</v>
      </c>
      <c r="D16" s="246">
        <v>15</v>
      </c>
      <c r="E16" s="248">
        <v>0.5</v>
      </c>
      <c r="F16" s="246"/>
      <c r="G16" s="107"/>
      <c r="H16" s="108"/>
      <c r="I16" s="246">
        <v>15</v>
      </c>
      <c r="J16" s="248">
        <v>15</v>
      </c>
      <c r="K16" s="246">
        <v>0.5</v>
      </c>
      <c r="L16" s="376">
        <v>5</v>
      </c>
      <c r="M16" s="248"/>
      <c r="N16" s="108"/>
      <c r="O16" s="108">
        <v>15</v>
      </c>
      <c r="P16" s="248">
        <v>15</v>
      </c>
      <c r="Q16" s="247">
        <v>0.5</v>
      </c>
      <c r="R16" s="246"/>
      <c r="S16" s="248"/>
      <c r="T16" s="248"/>
      <c r="U16" s="107">
        <v>15</v>
      </c>
      <c r="V16" s="107">
        <v>15</v>
      </c>
      <c r="W16" s="248">
        <v>0.5</v>
      </c>
      <c r="X16" s="248"/>
      <c r="Y16" s="248"/>
      <c r="Z16" s="375">
        <v>5</v>
      </c>
      <c r="AA16" s="247">
        <v>15</v>
      </c>
      <c r="AB16" s="108">
        <v>15</v>
      </c>
      <c r="AC16" s="107">
        <v>0.5</v>
      </c>
      <c r="AD16" s="560">
        <f t="shared" si="0"/>
        <v>162.5</v>
      </c>
      <c r="AE16" s="491">
        <f>SUM(AD16-AD61)</f>
        <v>12.5</v>
      </c>
    </row>
    <row r="17" spans="1:31" ht="28.9" thickBot="1">
      <c r="A17" s="368" t="s">
        <v>23</v>
      </c>
      <c r="B17" s="226"/>
      <c r="C17" s="227">
        <v>1</v>
      </c>
      <c r="D17" s="227">
        <v>1</v>
      </c>
      <c r="E17" s="228"/>
      <c r="F17" s="228"/>
      <c r="G17" s="134"/>
      <c r="H17" s="133"/>
      <c r="I17" s="227">
        <v>1</v>
      </c>
      <c r="J17" s="229">
        <v>1</v>
      </c>
      <c r="K17" s="227"/>
      <c r="L17" s="380"/>
      <c r="M17" s="227"/>
      <c r="N17" s="134"/>
      <c r="O17" s="133">
        <v>1</v>
      </c>
      <c r="P17" s="229">
        <v>1</v>
      </c>
      <c r="Q17" s="230"/>
      <c r="R17" s="227"/>
      <c r="S17" s="229"/>
      <c r="T17" s="227"/>
      <c r="U17" s="133">
        <v>1</v>
      </c>
      <c r="V17" s="133">
        <v>1</v>
      </c>
      <c r="W17" s="227"/>
      <c r="X17" s="227"/>
      <c r="Y17" s="227"/>
      <c r="Z17" s="380"/>
      <c r="AA17" s="230">
        <v>1</v>
      </c>
      <c r="AB17" s="133">
        <v>1</v>
      </c>
      <c r="AC17" s="134"/>
      <c r="AD17" s="561">
        <f t="shared" si="0"/>
        <v>10</v>
      </c>
      <c r="AE17" s="494"/>
    </row>
    <row r="18" spans="1:31" ht="28.9" thickBot="1">
      <c r="A18" s="173" t="s">
        <v>26</v>
      </c>
      <c r="B18" s="218" t="s">
        <v>18</v>
      </c>
      <c r="C18" s="219"/>
      <c r="D18" s="219"/>
      <c r="E18" s="219"/>
      <c r="F18" s="219"/>
      <c r="G18" s="114" t="s">
        <v>18</v>
      </c>
      <c r="H18" s="114" t="s">
        <v>18</v>
      </c>
      <c r="I18" s="219"/>
      <c r="J18" s="219"/>
      <c r="K18" s="219"/>
      <c r="L18" s="371"/>
      <c r="M18" s="219" t="s">
        <v>18</v>
      </c>
      <c r="N18" s="114" t="s">
        <v>18</v>
      </c>
      <c r="O18" s="114"/>
      <c r="P18" s="617"/>
      <c r="Q18" s="617"/>
      <c r="R18" s="617"/>
      <c r="S18" s="462">
        <v>2</v>
      </c>
      <c r="T18" s="462">
        <v>2</v>
      </c>
      <c r="U18" s="617"/>
      <c r="V18" s="617"/>
      <c r="W18" s="219"/>
      <c r="X18" s="219"/>
      <c r="Y18" s="219" t="s">
        <v>18</v>
      </c>
      <c r="Z18" s="371" t="s">
        <v>18</v>
      </c>
      <c r="AA18" s="219"/>
      <c r="AB18" s="114"/>
      <c r="AC18" s="114"/>
      <c r="AD18" s="556">
        <f t="shared" si="0"/>
        <v>4</v>
      </c>
      <c r="AE18" s="490"/>
    </row>
    <row r="19" spans="1:31" ht="28.9" thickBot="1">
      <c r="A19" s="146" t="s">
        <v>27</v>
      </c>
      <c r="B19" s="223">
        <v>15</v>
      </c>
      <c r="C19" s="224">
        <v>0.5</v>
      </c>
      <c r="D19" s="224"/>
      <c r="E19" s="224"/>
      <c r="F19" s="224"/>
      <c r="G19" s="103">
        <v>15</v>
      </c>
      <c r="H19" s="103">
        <v>15</v>
      </c>
      <c r="I19" s="224">
        <v>0.5</v>
      </c>
      <c r="J19" s="224"/>
      <c r="K19" s="224"/>
      <c r="L19" s="372">
        <v>5</v>
      </c>
      <c r="M19" s="224">
        <v>15</v>
      </c>
      <c r="N19" s="103">
        <v>15</v>
      </c>
      <c r="O19" s="103">
        <v>0.5</v>
      </c>
      <c r="P19" s="619"/>
      <c r="Q19" s="619"/>
      <c r="R19" s="619"/>
      <c r="S19" s="619">
        <v>15</v>
      </c>
      <c r="T19" s="619">
        <v>15</v>
      </c>
      <c r="U19" s="619"/>
      <c r="V19" s="619"/>
      <c r="W19" s="224"/>
      <c r="X19" s="224"/>
      <c r="Y19" s="224">
        <v>15</v>
      </c>
      <c r="Z19" s="372">
        <v>15</v>
      </c>
      <c r="AA19" s="224">
        <v>0.5</v>
      </c>
      <c r="AB19" s="103"/>
      <c r="AC19" s="103"/>
      <c r="AD19" s="560">
        <f t="shared" si="0"/>
        <v>142</v>
      </c>
      <c r="AE19" s="491">
        <f>SUM(AD19-AD61)</f>
        <v>-8</v>
      </c>
    </row>
    <row r="20" spans="1:31" ht="28.9" thickBot="1">
      <c r="A20" s="187" t="s">
        <v>28</v>
      </c>
      <c r="B20" s="226">
        <v>1</v>
      </c>
      <c r="C20" s="227"/>
      <c r="D20" s="227"/>
      <c r="E20" s="227"/>
      <c r="F20" s="227"/>
      <c r="G20" s="133">
        <v>1</v>
      </c>
      <c r="H20" s="133">
        <v>1</v>
      </c>
      <c r="I20" s="227"/>
      <c r="J20" s="227"/>
      <c r="K20" s="227"/>
      <c r="L20" s="373"/>
      <c r="M20" s="227">
        <v>1</v>
      </c>
      <c r="N20" s="133">
        <v>1</v>
      </c>
      <c r="O20" s="133"/>
      <c r="P20" s="453"/>
      <c r="Q20" s="453"/>
      <c r="R20" s="453"/>
      <c r="S20" s="453"/>
      <c r="T20" s="453"/>
      <c r="U20" s="453"/>
      <c r="V20" s="453"/>
      <c r="W20" s="227"/>
      <c r="X20" s="227"/>
      <c r="Y20" s="227">
        <v>1</v>
      </c>
      <c r="Z20" s="373">
        <v>1</v>
      </c>
      <c r="AA20" s="227"/>
      <c r="AB20" s="133"/>
      <c r="AC20" s="133"/>
      <c r="AD20" s="561">
        <f t="shared" si="0"/>
        <v>7</v>
      </c>
      <c r="AE20" s="494"/>
    </row>
    <row r="21" spans="1:31" ht="28.9" thickBot="1">
      <c r="A21" s="146" t="s">
        <v>29</v>
      </c>
      <c r="B21" s="266"/>
      <c r="C21" s="222"/>
      <c r="D21" s="222"/>
      <c r="E21" s="222"/>
      <c r="F21" s="222" t="s">
        <v>18</v>
      </c>
      <c r="G21" s="105" t="s">
        <v>18</v>
      </c>
      <c r="H21" s="105"/>
      <c r="I21" s="222"/>
      <c r="J21" s="222"/>
      <c r="K21" s="222"/>
      <c r="L21" s="379" t="s">
        <v>18</v>
      </c>
      <c r="M21" s="222" t="s">
        <v>18</v>
      </c>
      <c r="N21" s="105"/>
      <c r="O21" s="105"/>
      <c r="P21" s="222"/>
      <c r="Q21" s="222"/>
      <c r="R21" s="222" t="s">
        <v>18</v>
      </c>
      <c r="S21" s="222" t="s">
        <v>18</v>
      </c>
      <c r="T21" s="222"/>
      <c r="U21" s="105"/>
      <c r="V21" s="105"/>
      <c r="W21" s="222"/>
      <c r="X21" s="222" t="s">
        <v>18</v>
      </c>
      <c r="Y21" s="222" t="s">
        <v>18</v>
      </c>
      <c r="Z21" s="379"/>
      <c r="AA21" s="222"/>
      <c r="AB21" s="105"/>
      <c r="AC21" s="105"/>
      <c r="AD21" s="556">
        <f t="shared" si="0"/>
        <v>0</v>
      </c>
      <c r="AE21" s="490"/>
    </row>
    <row r="22" spans="1:31" ht="28.9" thickBot="1">
      <c r="A22" s="146" t="s">
        <v>30</v>
      </c>
      <c r="B22" s="255"/>
      <c r="C22" s="246"/>
      <c r="D22" s="246"/>
      <c r="E22" s="246"/>
      <c r="F22" s="246">
        <v>15</v>
      </c>
      <c r="G22" s="108">
        <v>15</v>
      </c>
      <c r="H22" s="108">
        <v>0.5</v>
      </c>
      <c r="I22" s="246"/>
      <c r="J22" s="246"/>
      <c r="K22" s="246"/>
      <c r="L22" s="376">
        <v>15</v>
      </c>
      <c r="M22" s="246">
        <v>15</v>
      </c>
      <c r="N22" s="108">
        <v>0.5</v>
      </c>
      <c r="O22" s="108"/>
      <c r="P22" s="246"/>
      <c r="Q22" s="246"/>
      <c r="R22" s="246">
        <v>15</v>
      </c>
      <c r="S22" s="246">
        <v>15</v>
      </c>
      <c r="T22" s="246">
        <v>0.5</v>
      </c>
      <c r="U22" s="108"/>
      <c r="V22" s="108"/>
      <c r="W22" s="246"/>
      <c r="X22" s="246">
        <v>15</v>
      </c>
      <c r="Y22" s="246">
        <v>15</v>
      </c>
      <c r="Z22" s="376">
        <v>0.5</v>
      </c>
      <c r="AA22" s="246"/>
      <c r="AB22" s="108"/>
      <c r="AC22" s="108"/>
      <c r="AD22" s="560">
        <f t="shared" si="0"/>
        <v>122</v>
      </c>
      <c r="AE22" s="491">
        <f>SUM(AD22-AD61)</f>
        <v>-28</v>
      </c>
    </row>
    <row r="23" spans="1:31" ht="28.9" thickBot="1">
      <c r="A23" s="368" t="s">
        <v>28</v>
      </c>
      <c r="B23" s="226"/>
      <c r="C23" s="227"/>
      <c r="D23" s="227"/>
      <c r="E23" s="227"/>
      <c r="F23" s="227">
        <v>1</v>
      </c>
      <c r="G23" s="133">
        <v>1</v>
      </c>
      <c r="H23" s="133"/>
      <c r="I23" s="227"/>
      <c r="J23" s="227"/>
      <c r="K23" s="227"/>
      <c r="L23" s="373">
        <v>1</v>
      </c>
      <c r="M23" s="227">
        <v>1</v>
      </c>
      <c r="N23" s="133"/>
      <c r="O23" s="133"/>
      <c r="P23" s="227"/>
      <c r="Q23" s="227"/>
      <c r="R23" s="227">
        <v>1</v>
      </c>
      <c r="S23" s="227">
        <v>1</v>
      </c>
      <c r="T23" s="227"/>
      <c r="U23" s="133"/>
      <c r="V23" s="133"/>
      <c r="W23" s="227"/>
      <c r="X23" s="227">
        <v>1</v>
      </c>
      <c r="Y23" s="227">
        <v>1</v>
      </c>
      <c r="Z23" s="373"/>
      <c r="AA23" s="227"/>
      <c r="AB23" s="133"/>
      <c r="AC23" s="133"/>
      <c r="AD23" s="561">
        <f t="shared" si="0"/>
        <v>8</v>
      </c>
      <c r="AE23" s="494"/>
    </row>
    <row r="24" spans="1:31" ht="28.9" hidden="1" thickBot="1">
      <c r="A24" s="146"/>
      <c r="B24" s="249"/>
      <c r="C24" s="251"/>
      <c r="D24" s="251"/>
      <c r="E24" s="222"/>
      <c r="F24" s="222"/>
      <c r="G24" s="105"/>
      <c r="H24" s="111"/>
      <c r="I24" s="222"/>
      <c r="J24" s="222"/>
      <c r="K24" s="222"/>
      <c r="L24" s="379"/>
      <c r="M24" s="222"/>
      <c r="N24" s="111"/>
      <c r="O24" s="105"/>
      <c r="P24" s="256"/>
      <c r="Q24" s="256"/>
      <c r="R24" s="222"/>
      <c r="S24" s="222"/>
      <c r="T24" s="222"/>
      <c r="U24" s="111"/>
      <c r="V24" s="111"/>
      <c r="W24" s="253"/>
      <c r="X24" s="253"/>
      <c r="Y24" s="253"/>
      <c r="Z24" s="417"/>
      <c r="AA24" s="256"/>
      <c r="AB24" s="105"/>
      <c r="AC24" s="105"/>
      <c r="AD24" s="556">
        <f t="shared" si="0"/>
        <v>0</v>
      </c>
      <c r="AE24" s="490"/>
    </row>
    <row r="25" spans="1:31" ht="28.9" hidden="1" thickBot="1">
      <c r="A25" s="146"/>
      <c r="B25" s="255"/>
      <c r="C25" s="246"/>
      <c r="D25" s="246"/>
      <c r="E25" s="246"/>
      <c r="F25" s="246"/>
      <c r="G25" s="108"/>
      <c r="H25" s="107"/>
      <c r="I25" s="246"/>
      <c r="J25" s="246"/>
      <c r="K25" s="246"/>
      <c r="L25" s="376"/>
      <c r="M25" s="323"/>
      <c r="N25" s="107"/>
      <c r="O25" s="108"/>
      <c r="P25" s="247"/>
      <c r="Q25" s="247"/>
      <c r="R25" s="246"/>
      <c r="S25" s="246"/>
      <c r="T25" s="246"/>
      <c r="U25" s="107"/>
      <c r="V25" s="107"/>
      <c r="W25" s="248"/>
      <c r="X25" s="248"/>
      <c r="Y25" s="248"/>
      <c r="Z25" s="411"/>
      <c r="AA25" s="247"/>
      <c r="AB25" s="108"/>
      <c r="AC25" s="108"/>
      <c r="AD25" s="560">
        <f t="shared" si="0"/>
        <v>0</v>
      </c>
      <c r="AE25" s="491">
        <f>SUM(AD25-AD61)</f>
        <v>-150</v>
      </c>
    </row>
    <row r="26" spans="1:31" ht="28.9" hidden="1" thickBot="1">
      <c r="A26" s="368"/>
      <c r="B26" s="226"/>
      <c r="C26" s="227"/>
      <c r="D26" s="227"/>
      <c r="E26" s="227"/>
      <c r="F26" s="227"/>
      <c r="G26" s="134"/>
      <c r="H26" s="133"/>
      <c r="I26" s="227"/>
      <c r="J26" s="227"/>
      <c r="K26" s="227"/>
      <c r="L26" s="373"/>
      <c r="M26" s="227"/>
      <c r="N26" s="134"/>
      <c r="O26" s="133"/>
      <c r="P26" s="227"/>
      <c r="Q26" s="230"/>
      <c r="R26" s="227"/>
      <c r="S26" s="227"/>
      <c r="T26" s="227"/>
      <c r="U26" s="133"/>
      <c r="V26" s="133"/>
      <c r="W26" s="227"/>
      <c r="X26" s="227"/>
      <c r="Y26" s="227"/>
      <c r="Z26" s="373"/>
      <c r="AA26" s="230"/>
      <c r="AB26" s="133"/>
      <c r="AC26" s="133"/>
      <c r="AD26" s="561">
        <f t="shared" si="0"/>
        <v>0</v>
      </c>
      <c r="AE26" s="494"/>
    </row>
    <row r="27" spans="1:31" ht="28.9" thickBot="1">
      <c r="A27" s="465" t="s">
        <v>31</v>
      </c>
      <c r="B27" s="223"/>
      <c r="C27" s="224"/>
      <c r="D27" s="224" t="s">
        <v>18</v>
      </c>
      <c r="E27" s="251" t="s">
        <v>18</v>
      </c>
      <c r="F27" s="222"/>
      <c r="G27" s="105"/>
      <c r="H27" s="108"/>
      <c r="I27" s="246"/>
      <c r="J27" s="248" t="s">
        <v>18</v>
      </c>
      <c r="K27" s="251" t="s">
        <v>18</v>
      </c>
      <c r="L27" s="379"/>
      <c r="M27" s="222"/>
      <c r="N27" s="107"/>
      <c r="O27" s="108"/>
      <c r="P27" s="246" t="s">
        <v>18</v>
      </c>
      <c r="Q27" s="251" t="s">
        <v>18</v>
      </c>
      <c r="R27" s="222"/>
      <c r="S27" s="222"/>
      <c r="T27" s="246"/>
      <c r="U27" s="107"/>
      <c r="V27" s="107" t="s">
        <v>18</v>
      </c>
      <c r="W27" s="251" t="s">
        <v>18</v>
      </c>
      <c r="X27" s="222"/>
      <c r="Y27" s="222"/>
      <c r="Z27" s="375"/>
      <c r="AA27" s="247"/>
      <c r="AB27" s="108" t="s">
        <v>18</v>
      </c>
      <c r="AC27" s="111" t="s">
        <v>18</v>
      </c>
      <c r="AD27" s="556">
        <f t="shared" si="0"/>
        <v>0</v>
      </c>
      <c r="AE27" s="490"/>
    </row>
    <row r="28" spans="1:31" ht="28.9" thickBot="1">
      <c r="A28" s="146" t="s">
        <v>33</v>
      </c>
      <c r="B28" s="255"/>
      <c r="C28" s="246"/>
      <c r="D28" s="246">
        <v>15</v>
      </c>
      <c r="E28" s="246">
        <v>15</v>
      </c>
      <c r="F28" s="246">
        <v>0.5</v>
      </c>
      <c r="G28" s="108"/>
      <c r="H28" s="108"/>
      <c r="I28" s="246"/>
      <c r="J28" s="248">
        <v>15</v>
      </c>
      <c r="K28" s="246">
        <v>15</v>
      </c>
      <c r="L28" s="376">
        <v>4.5</v>
      </c>
      <c r="M28" s="246"/>
      <c r="N28" s="108"/>
      <c r="O28" s="108"/>
      <c r="P28" s="246">
        <v>15</v>
      </c>
      <c r="Q28" s="246">
        <v>15</v>
      </c>
      <c r="R28" s="246">
        <v>0.5</v>
      </c>
      <c r="S28" s="246"/>
      <c r="T28" s="246"/>
      <c r="U28" s="107"/>
      <c r="V28" s="107">
        <v>15</v>
      </c>
      <c r="W28" s="246">
        <v>15</v>
      </c>
      <c r="X28" s="246">
        <v>0.5</v>
      </c>
      <c r="Y28" s="246"/>
      <c r="Z28" s="375">
        <v>5</v>
      </c>
      <c r="AA28" s="247"/>
      <c r="AB28" s="108">
        <v>15</v>
      </c>
      <c r="AC28" s="107">
        <v>15</v>
      </c>
      <c r="AD28" s="560">
        <f t="shared" si="0"/>
        <v>161</v>
      </c>
      <c r="AE28" s="491">
        <f>SUM(AD28-AD61)</f>
        <v>11</v>
      </c>
    </row>
    <row r="29" spans="1:31" ht="28.9" thickBot="1">
      <c r="A29" s="188" t="s">
        <v>34</v>
      </c>
      <c r="B29" s="226"/>
      <c r="C29" s="227"/>
      <c r="D29" s="227">
        <v>1</v>
      </c>
      <c r="E29" s="227">
        <v>1</v>
      </c>
      <c r="F29" s="227"/>
      <c r="G29" s="133"/>
      <c r="H29" s="133"/>
      <c r="I29" s="227"/>
      <c r="J29" s="229">
        <v>1</v>
      </c>
      <c r="K29" s="227">
        <v>1</v>
      </c>
      <c r="L29" s="373"/>
      <c r="M29" s="227"/>
      <c r="N29" s="133"/>
      <c r="O29" s="133"/>
      <c r="P29" s="227">
        <v>1</v>
      </c>
      <c r="Q29" s="227">
        <v>1</v>
      </c>
      <c r="R29" s="227"/>
      <c r="S29" s="227"/>
      <c r="T29" s="227"/>
      <c r="U29" s="135"/>
      <c r="V29" s="135">
        <v>1</v>
      </c>
      <c r="W29" s="227">
        <v>1</v>
      </c>
      <c r="X29" s="227"/>
      <c r="Y29" s="227"/>
      <c r="Z29" s="377"/>
      <c r="AA29" s="233"/>
      <c r="AB29" s="133">
        <v>1</v>
      </c>
      <c r="AC29" s="133">
        <v>1</v>
      </c>
      <c r="AD29" s="561">
        <f t="shared" si="0"/>
        <v>10</v>
      </c>
      <c r="AE29" s="494"/>
    </row>
    <row r="30" spans="1:31" ht="28.9" thickBot="1">
      <c r="A30" s="173" t="s">
        <v>74</v>
      </c>
      <c r="B30" s="218" t="s">
        <v>18</v>
      </c>
      <c r="C30" s="219" t="s">
        <v>18</v>
      </c>
      <c r="D30" s="219"/>
      <c r="E30" s="219"/>
      <c r="F30" s="219"/>
      <c r="G30" s="114"/>
      <c r="H30" s="114" t="s">
        <v>18</v>
      </c>
      <c r="I30" s="219" t="s">
        <v>18</v>
      </c>
      <c r="J30" s="219"/>
      <c r="K30" s="219"/>
      <c r="L30" s="371"/>
      <c r="M30" s="219"/>
      <c r="N30" s="114" t="s">
        <v>18</v>
      </c>
      <c r="O30" s="114" t="s">
        <v>18</v>
      </c>
      <c r="P30" s="219"/>
      <c r="Q30" s="219"/>
      <c r="R30" s="219"/>
      <c r="S30" s="219"/>
      <c r="T30" s="219" t="s">
        <v>18</v>
      </c>
      <c r="U30" s="114" t="s">
        <v>18</v>
      </c>
      <c r="V30" s="114"/>
      <c r="W30" s="219"/>
      <c r="X30" s="219"/>
      <c r="Y30" s="219"/>
      <c r="Z30" s="371" t="s">
        <v>18</v>
      </c>
      <c r="AA30" s="219" t="s">
        <v>18</v>
      </c>
      <c r="AB30" s="114"/>
      <c r="AC30" s="114"/>
      <c r="AD30" s="556">
        <f t="shared" ref="AD30:AD59" si="1">SUM(B30:AC30)</f>
        <v>0</v>
      </c>
      <c r="AE30" s="490"/>
    </row>
    <row r="31" spans="1:31" ht="28.9" thickBot="1">
      <c r="A31" s="146" t="s">
        <v>36</v>
      </c>
      <c r="B31" s="223">
        <v>15</v>
      </c>
      <c r="C31" s="224">
        <v>15</v>
      </c>
      <c r="D31" s="224">
        <v>0.5</v>
      </c>
      <c r="E31" s="224"/>
      <c r="F31" s="224"/>
      <c r="G31" s="103"/>
      <c r="H31" s="103">
        <v>15</v>
      </c>
      <c r="I31" s="224">
        <v>15</v>
      </c>
      <c r="J31" s="224">
        <v>0.5</v>
      </c>
      <c r="K31" s="224"/>
      <c r="L31" s="372">
        <v>4</v>
      </c>
      <c r="M31" s="224"/>
      <c r="N31" s="103">
        <v>15</v>
      </c>
      <c r="O31" s="103">
        <v>15</v>
      </c>
      <c r="P31" s="224">
        <v>0.5</v>
      </c>
      <c r="Q31" s="224"/>
      <c r="R31" s="224"/>
      <c r="S31" s="224"/>
      <c r="T31" s="224">
        <v>15</v>
      </c>
      <c r="U31" s="103">
        <v>15</v>
      </c>
      <c r="V31" s="103">
        <v>0.5</v>
      </c>
      <c r="W31" s="224"/>
      <c r="X31" s="224"/>
      <c r="Y31" s="224"/>
      <c r="Z31" s="372">
        <v>15</v>
      </c>
      <c r="AA31" s="224">
        <v>15</v>
      </c>
      <c r="AB31" s="103">
        <v>0.5</v>
      </c>
      <c r="AC31" s="103"/>
      <c r="AD31" s="560">
        <f t="shared" si="1"/>
        <v>156.5</v>
      </c>
      <c r="AE31" s="491">
        <f>SUM(AD31-AD61)</f>
        <v>6.5</v>
      </c>
    </row>
    <row r="32" spans="1:31" ht="28.9" thickBot="1">
      <c r="A32" s="187" t="s">
        <v>34</v>
      </c>
      <c r="B32" s="226">
        <v>1</v>
      </c>
      <c r="C32" s="227">
        <v>1</v>
      </c>
      <c r="D32" s="227"/>
      <c r="E32" s="227"/>
      <c r="F32" s="227"/>
      <c r="G32" s="133"/>
      <c r="H32" s="133">
        <v>1</v>
      </c>
      <c r="I32" s="227">
        <v>1</v>
      </c>
      <c r="J32" s="227"/>
      <c r="K32" s="227"/>
      <c r="L32" s="373"/>
      <c r="M32" s="227"/>
      <c r="N32" s="133">
        <v>1</v>
      </c>
      <c r="O32" s="133">
        <v>1</v>
      </c>
      <c r="P32" s="227"/>
      <c r="Q32" s="227"/>
      <c r="R32" s="227"/>
      <c r="S32" s="227"/>
      <c r="T32" s="227">
        <v>1</v>
      </c>
      <c r="U32" s="133">
        <v>1</v>
      </c>
      <c r="V32" s="133"/>
      <c r="W32" s="227"/>
      <c r="X32" s="227"/>
      <c r="Y32" s="227"/>
      <c r="Z32" s="373">
        <v>1</v>
      </c>
      <c r="AA32" s="227">
        <v>1</v>
      </c>
      <c r="AB32" s="133"/>
      <c r="AC32" s="133"/>
      <c r="AD32" s="561">
        <f t="shared" si="1"/>
        <v>10</v>
      </c>
      <c r="AE32" s="492"/>
    </row>
    <row r="33" spans="1:31" ht="28.9" thickBot="1">
      <c r="A33" s="173" t="s">
        <v>37</v>
      </c>
      <c r="B33" s="266"/>
      <c r="C33" s="222"/>
      <c r="D33" s="222"/>
      <c r="E33" s="222"/>
      <c r="F33" s="222"/>
      <c r="G33" s="105"/>
      <c r="H33" s="105"/>
      <c r="I33" s="222"/>
      <c r="J33" s="222"/>
      <c r="K33" s="222"/>
      <c r="L33" s="222"/>
      <c r="M33" s="222"/>
      <c r="N33" s="105"/>
      <c r="O33" s="105"/>
      <c r="P33" s="222"/>
      <c r="Q33" s="222"/>
      <c r="R33" s="222"/>
      <c r="S33" s="222"/>
      <c r="T33" s="222"/>
      <c r="U33" s="105"/>
      <c r="V33" s="105"/>
      <c r="W33" s="222"/>
      <c r="X33" s="222"/>
      <c r="Y33" s="222"/>
      <c r="Z33" s="222"/>
      <c r="AA33" s="222"/>
      <c r="AB33" s="105"/>
      <c r="AC33" s="105"/>
      <c r="AD33" s="556">
        <f t="shared" si="1"/>
        <v>0</v>
      </c>
      <c r="AE33" s="488"/>
    </row>
    <row r="34" spans="1:31" ht="28.9" thickBot="1">
      <c r="A34" s="146" t="s">
        <v>38</v>
      </c>
      <c r="B34" s="255"/>
      <c r="C34" s="246"/>
      <c r="D34" s="246"/>
      <c r="E34" s="246"/>
      <c r="F34" s="246"/>
      <c r="G34" s="108"/>
      <c r="H34" s="108"/>
      <c r="I34" s="246"/>
      <c r="J34" s="246"/>
      <c r="K34" s="246"/>
      <c r="L34" s="246"/>
      <c r="M34" s="246"/>
      <c r="N34" s="108"/>
      <c r="O34" s="108"/>
      <c r="P34" s="246"/>
      <c r="Q34" s="246"/>
      <c r="R34" s="246"/>
      <c r="S34" s="246"/>
      <c r="T34" s="246"/>
      <c r="U34" s="108"/>
      <c r="V34" s="108"/>
      <c r="W34" s="246"/>
      <c r="X34" s="246"/>
      <c r="Y34" s="246"/>
      <c r="Z34" s="246"/>
      <c r="AA34" s="246"/>
      <c r="AB34" s="108"/>
      <c r="AC34" s="108"/>
      <c r="AD34" s="560">
        <f t="shared" si="1"/>
        <v>0</v>
      </c>
      <c r="AE34" s="495"/>
    </row>
    <row r="35" spans="1:31" ht="28.9" thickBot="1">
      <c r="A35" s="187" t="s">
        <v>39</v>
      </c>
      <c r="B35" s="226"/>
      <c r="C35" s="227"/>
      <c r="D35" s="227"/>
      <c r="E35" s="227"/>
      <c r="F35" s="227"/>
      <c r="G35" s="133"/>
      <c r="H35" s="133"/>
      <c r="I35" s="227"/>
      <c r="J35" s="227"/>
      <c r="K35" s="227"/>
      <c r="L35" s="227"/>
      <c r="M35" s="227"/>
      <c r="N35" s="133"/>
      <c r="O35" s="133"/>
      <c r="P35" s="227"/>
      <c r="Q35" s="227"/>
      <c r="R35" s="227"/>
      <c r="S35" s="227"/>
      <c r="T35" s="227"/>
      <c r="U35" s="133"/>
      <c r="V35" s="133"/>
      <c r="W35" s="227"/>
      <c r="X35" s="227"/>
      <c r="Y35" s="227"/>
      <c r="Z35" s="227"/>
      <c r="AA35" s="227"/>
      <c r="AB35" s="133"/>
      <c r="AC35" s="133"/>
      <c r="AD35" s="561">
        <f t="shared" si="1"/>
        <v>0</v>
      </c>
      <c r="AE35" s="489"/>
    </row>
    <row r="36" spans="1:31" ht="28.9" thickBot="1">
      <c r="A36" s="465"/>
      <c r="B36" s="266"/>
      <c r="C36" s="222"/>
      <c r="D36" s="222"/>
      <c r="E36" s="222"/>
      <c r="F36" s="222"/>
      <c r="G36" s="105"/>
      <c r="H36" s="105"/>
      <c r="I36" s="222"/>
      <c r="J36" s="222"/>
      <c r="K36" s="222"/>
      <c r="L36" s="222"/>
      <c r="M36" s="222"/>
      <c r="N36" s="105"/>
      <c r="O36" s="105"/>
      <c r="P36" s="222"/>
      <c r="Q36" s="222"/>
      <c r="R36" s="222"/>
      <c r="S36" s="222"/>
      <c r="T36" s="222"/>
      <c r="U36" s="105"/>
      <c r="V36" s="105"/>
      <c r="W36" s="222"/>
      <c r="X36" s="222"/>
      <c r="Y36" s="222"/>
      <c r="Z36" s="222"/>
      <c r="AA36" s="222"/>
      <c r="AB36" s="105"/>
      <c r="AC36" s="105"/>
      <c r="AD36" s="556">
        <f t="shared" ref="AD36:AD50" si="2">SUM(B36:AC36)</f>
        <v>0</v>
      </c>
      <c r="AE36" s="488"/>
    </row>
    <row r="37" spans="1:31" ht="28.9" thickBot="1">
      <c r="A37" s="146"/>
      <c r="B37" s="255"/>
      <c r="C37" s="246"/>
      <c r="D37" s="246"/>
      <c r="E37" s="246"/>
      <c r="F37" s="246"/>
      <c r="G37" s="108"/>
      <c r="H37" s="108"/>
      <c r="I37" s="246"/>
      <c r="J37" s="246"/>
      <c r="K37" s="246"/>
      <c r="L37" s="246"/>
      <c r="M37" s="246"/>
      <c r="N37" s="108"/>
      <c r="O37" s="108"/>
      <c r="P37" s="246"/>
      <c r="Q37" s="246"/>
      <c r="R37" s="246"/>
      <c r="S37" s="246"/>
      <c r="T37" s="246"/>
      <c r="U37" s="108"/>
      <c r="V37" s="108"/>
      <c r="W37" s="246"/>
      <c r="X37" s="246"/>
      <c r="Y37" s="246"/>
      <c r="Z37" s="246"/>
      <c r="AA37" s="246"/>
      <c r="AB37" s="108"/>
      <c r="AC37" s="108"/>
      <c r="AD37" s="560">
        <f t="shared" si="2"/>
        <v>0</v>
      </c>
      <c r="AE37" s="495"/>
    </row>
    <row r="38" spans="1:31" ht="28.9" thickBot="1">
      <c r="A38" s="188"/>
      <c r="B38" s="226"/>
      <c r="C38" s="227"/>
      <c r="D38" s="227"/>
      <c r="E38" s="227"/>
      <c r="F38" s="227"/>
      <c r="G38" s="133"/>
      <c r="H38" s="133"/>
      <c r="I38" s="227"/>
      <c r="J38" s="227"/>
      <c r="K38" s="227"/>
      <c r="L38" s="227"/>
      <c r="M38" s="227"/>
      <c r="N38" s="133"/>
      <c r="O38" s="133"/>
      <c r="P38" s="227"/>
      <c r="Q38" s="227"/>
      <c r="R38" s="227"/>
      <c r="S38" s="227"/>
      <c r="T38" s="227"/>
      <c r="U38" s="133"/>
      <c r="V38" s="133"/>
      <c r="W38" s="227"/>
      <c r="X38" s="227"/>
      <c r="Y38" s="227"/>
      <c r="Z38" s="227"/>
      <c r="AA38" s="227"/>
      <c r="AB38" s="133"/>
      <c r="AC38" s="133"/>
      <c r="AD38" s="561">
        <f t="shared" si="2"/>
        <v>0</v>
      </c>
      <c r="AE38" s="489"/>
    </row>
    <row r="39" spans="1:31" ht="29.45" thickBot="1">
      <c r="A39" s="167"/>
      <c r="B39" s="266"/>
      <c r="C39" s="222"/>
      <c r="D39" s="222"/>
      <c r="E39" s="222"/>
      <c r="F39" s="222"/>
      <c r="G39" s="105"/>
      <c r="H39" s="105"/>
      <c r="I39" s="222"/>
      <c r="J39" s="222"/>
      <c r="K39" s="222"/>
      <c r="L39" s="222"/>
      <c r="M39" s="222"/>
      <c r="N39" s="105"/>
      <c r="O39" s="105"/>
      <c r="P39" s="222"/>
      <c r="Q39" s="222"/>
      <c r="R39" s="222"/>
      <c r="S39" s="222"/>
      <c r="T39" s="222"/>
      <c r="U39" s="105"/>
      <c r="V39" s="105"/>
      <c r="W39" s="222"/>
      <c r="X39" s="222"/>
      <c r="Y39" s="222"/>
      <c r="Z39" s="222"/>
      <c r="AA39" s="222"/>
      <c r="AB39" s="105"/>
      <c r="AC39" s="105"/>
      <c r="AD39" s="556">
        <f t="shared" ref="AD39:AD44" si="3">SUM(B39:AC39)</f>
        <v>0</v>
      </c>
      <c r="AE39" s="6"/>
    </row>
    <row r="40" spans="1:31" ht="29.45" thickBot="1">
      <c r="A40" s="9"/>
      <c r="B40" s="255"/>
      <c r="C40" s="246"/>
      <c r="D40" s="246"/>
      <c r="E40" s="246"/>
      <c r="F40" s="246"/>
      <c r="G40" s="108"/>
      <c r="H40" s="108"/>
      <c r="I40" s="246"/>
      <c r="J40" s="246"/>
      <c r="K40" s="246"/>
      <c r="L40" s="246"/>
      <c r="M40" s="246"/>
      <c r="N40" s="108"/>
      <c r="O40" s="108"/>
      <c r="P40" s="246"/>
      <c r="Q40" s="246"/>
      <c r="R40" s="246"/>
      <c r="S40" s="246"/>
      <c r="T40" s="246"/>
      <c r="U40" s="108"/>
      <c r="V40" s="108"/>
      <c r="W40" s="246"/>
      <c r="X40" s="246"/>
      <c r="Y40" s="246"/>
      <c r="Z40" s="246"/>
      <c r="AA40" s="246"/>
      <c r="AB40" s="108"/>
      <c r="AC40" s="108"/>
      <c r="AD40" s="560">
        <f t="shared" si="3"/>
        <v>0</v>
      </c>
      <c r="AE40" s="6"/>
    </row>
    <row r="41" spans="1:31" ht="28.9" customHeight="1" thickBot="1">
      <c r="A41" s="170"/>
      <c r="B41" s="226"/>
      <c r="C41" s="227"/>
      <c r="D41" s="227"/>
      <c r="E41" s="227"/>
      <c r="F41" s="227"/>
      <c r="G41" s="133"/>
      <c r="H41" s="133"/>
      <c r="I41" s="227"/>
      <c r="J41" s="227"/>
      <c r="K41" s="227"/>
      <c r="L41" s="227"/>
      <c r="M41" s="227"/>
      <c r="N41" s="133"/>
      <c r="O41" s="133"/>
      <c r="P41" s="227"/>
      <c r="Q41" s="227"/>
      <c r="R41" s="227"/>
      <c r="S41" s="227"/>
      <c r="T41" s="227"/>
      <c r="U41" s="133"/>
      <c r="V41" s="133"/>
      <c r="W41" s="227"/>
      <c r="X41" s="227"/>
      <c r="Y41" s="227"/>
      <c r="Z41" s="227"/>
      <c r="AA41" s="227"/>
      <c r="AB41" s="133"/>
      <c r="AC41" s="133"/>
      <c r="AD41" s="561">
        <f t="shared" si="3"/>
        <v>0</v>
      </c>
      <c r="AE41" s="6"/>
    </row>
    <row r="42" spans="1:31" ht="29.45" thickBot="1">
      <c r="A42" s="167"/>
      <c r="B42" s="266"/>
      <c r="C42" s="222"/>
      <c r="D42" s="222"/>
      <c r="E42" s="222"/>
      <c r="F42" s="222"/>
      <c r="G42" s="105"/>
      <c r="H42" s="105"/>
      <c r="I42" s="222"/>
      <c r="J42" s="222"/>
      <c r="K42" s="222"/>
      <c r="L42" s="222"/>
      <c r="M42" s="222"/>
      <c r="N42" s="105"/>
      <c r="O42" s="105"/>
      <c r="P42" s="222"/>
      <c r="Q42" s="222"/>
      <c r="R42" s="222"/>
      <c r="S42" s="222"/>
      <c r="T42" s="222"/>
      <c r="U42" s="105"/>
      <c r="V42" s="105"/>
      <c r="W42" s="222"/>
      <c r="X42" s="222"/>
      <c r="Y42" s="222"/>
      <c r="Z42" s="222"/>
      <c r="AA42" s="222"/>
      <c r="AB42" s="105"/>
      <c r="AC42" s="105"/>
      <c r="AD42" s="556">
        <f t="shared" si="3"/>
        <v>0</v>
      </c>
      <c r="AE42" s="6"/>
    </row>
    <row r="43" spans="1:31" ht="29.45" thickBot="1">
      <c r="A43" s="9"/>
      <c r="B43" s="255"/>
      <c r="C43" s="246"/>
      <c r="D43" s="246"/>
      <c r="E43" s="246"/>
      <c r="F43" s="246"/>
      <c r="G43" s="108"/>
      <c r="H43" s="108"/>
      <c r="I43" s="246"/>
      <c r="J43" s="246"/>
      <c r="K43" s="246"/>
      <c r="L43" s="246"/>
      <c r="M43" s="246"/>
      <c r="N43" s="108"/>
      <c r="O43" s="108"/>
      <c r="P43" s="246"/>
      <c r="Q43" s="246"/>
      <c r="R43" s="246"/>
      <c r="S43" s="246"/>
      <c r="T43" s="246"/>
      <c r="U43" s="108"/>
      <c r="V43" s="108"/>
      <c r="W43" s="246"/>
      <c r="X43" s="246"/>
      <c r="Y43" s="246"/>
      <c r="Z43" s="246"/>
      <c r="AA43" s="246"/>
      <c r="AB43" s="108"/>
      <c r="AC43" s="108"/>
      <c r="AD43" s="560">
        <f t="shared" si="3"/>
        <v>0</v>
      </c>
      <c r="AE43" s="6"/>
    </row>
    <row r="44" spans="1:31" ht="29.45" thickBot="1">
      <c r="A44" s="170"/>
      <c r="B44" s="226"/>
      <c r="C44" s="227"/>
      <c r="D44" s="227"/>
      <c r="E44" s="227"/>
      <c r="F44" s="227"/>
      <c r="G44" s="133"/>
      <c r="H44" s="133"/>
      <c r="I44" s="227"/>
      <c r="J44" s="227"/>
      <c r="K44" s="227"/>
      <c r="L44" s="227"/>
      <c r="M44" s="227"/>
      <c r="N44" s="133"/>
      <c r="O44" s="133"/>
      <c r="P44" s="227"/>
      <c r="Q44" s="227"/>
      <c r="R44" s="227"/>
      <c r="S44" s="227"/>
      <c r="T44" s="227"/>
      <c r="U44" s="133"/>
      <c r="V44" s="133"/>
      <c r="W44" s="227"/>
      <c r="X44" s="227"/>
      <c r="Y44" s="227"/>
      <c r="Z44" s="227"/>
      <c r="AA44" s="227"/>
      <c r="AB44" s="133"/>
      <c r="AC44" s="133"/>
      <c r="AD44" s="561">
        <f t="shared" si="3"/>
        <v>0</v>
      </c>
      <c r="AE44" s="6"/>
    </row>
    <row r="45" spans="1:31" ht="29.45" thickBot="1">
      <c r="A45" s="167"/>
      <c r="B45" s="266"/>
      <c r="C45" s="222"/>
      <c r="D45" s="222"/>
      <c r="E45" s="222"/>
      <c r="F45" s="222"/>
      <c r="G45" s="105"/>
      <c r="H45" s="105"/>
      <c r="I45" s="222"/>
      <c r="J45" s="222"/>
      <c r="K45" s="222"/>
      <c r="L45" s="222"/>
      <c r="M45" s="222"/>
      <c r="N45" s="105"/>
      <c r="O45" s="105"/>
      <c r="P45" s="222"/>
      <c r="Q45" s="222"/>
      <c r="R45" s="222"/>
      <c r="S45" s="222"/>
      <c r="T45" s="222"/>
      <c r="U45" s="105"/>
      <c r="V45" s="105"/>
      <c r="W45" s="222"/>
      <c r="X45" s="222"/>
      <c r="Y45" s="222"/>
      <c r="Z45" s="222"/>
      <c r="AA45" s="222"/>
      <c r="AB45" s="105"/>
      <c r="AC45" s="105"/>
      <c r="AD45" s="556">
        <f t="shared" si="2"/>
        <v>0</v>
      </c>
      <c r="AE45" s="6"/>
    </row>
    <row r="46" spans="1:31" ht="29.45" thickBot="1">
      <c r="A46" s="9"/>
      <c r="B46" s="255"/>
      <c r="C46" s="246"/>
      <c r="D46" s="246"/>
      <c r="E46" s="246"/>
      <c r="F46" s="246"/>
      <c r="G46" s="108"/>
      <c r="H46" s="108"/>
      <c r="I46" s="246"/>
      <c r="J46" s="246"/>
      <c r="K46" s="246"/>
      <c r="L46" s="246"/>
      <c r="M46" s="246"/>
      <c r="N46" s="108"/>
      <c r="O46" s="108"/>
      <c r="P46" s="246"/>
      <c r="Q46" s="246"/>
      <c r="R46" s="246"/>
      <c r="S46" s="246"/>
      <c r="T46" s="246"/>
      <c r="U46" s="108"/>
      <c r="V46" s="108"/>
      <c r="W46" s="246"/>
      <c r="X46" s="246"/>
      <c r="Y46" s="246"/>
      <c r="Z46" s="246"/>
      <c r="AA46" s="246"/>
      <c r="AB46" s="108"/>
      <c r="AC46" s="108"/>
      <c r="AD46" s="560">
        <f t="shared" si="2"/>
        <v>0</v>
      </c>
      <c r="AE46" s="6"/>
    </row>
    <row r="47" spans="1:31" ht="28.9" thickBot="1">
      <c r="A47" s="170"/>
      <c r="B47" s="226"/>
      <c r="C47" s="227"/>
      <c r="D47" s="227"/>
      <c r="E47" s="227"/>
      <c r="F47" s="227"/>
      <c r="G47" s="133"/>
      <c r="H47" s="133"/>
      <c r="I47" s="227"/>
      <c r="J47" s="227"/>
      <c r="K47" s="227"/>
      <c r="L47" s="227"/>
      <c r="M47" s="227"/>
      <c r="N47" s="133"/>
      <c r="O47" s="133"/>
      <c r="P47" s="227"/>
      <c r="Q47" s="227"/>
      <c r="R47" s="227"/>
      <c r="S47" s="227"/>
      <c r="T47" s="227"/>
      <c r="U47" s="133"/>
      <c r="V47" s="133"/>
      <c r="W47" s="227"/>
      <c r="X47" s="227"/>
      <c r="Y47" s="227"/>
      <c r="Z47" s="227"/>
      <c r="AA47" s="227"/>
      <c r="AB47" s="133"/>
      <c r="AC47" s="133"/>
      <c r="AD47" s="561">
        <f t="shared" si="2"/>
        <v>0</v>
      </c>
    </row>
    <row r="48" spans="1:31" ht="28.9" hidden="1" thickBot="1">
      <c r="A48" s="167"/>
      <c r="B48" s="266"/>
      <c r="C48" s="222"/>
      <c r="D48" s="222"/>
      <c r="E48" s="222"/>
      <c r="F48" s="222"/>
      <c r="G48" s="105"/>
      <c r="H48" s="105"/>
      <c r="I48" s="222"/>
      <c r="J48" s="222"/>
      <c r="K48" s="222"/>
      <c r="L48" s="222"/>
      <c r="M48" s="222"/>
      <c r="N48" s="105"/>
      <c r="O48" s="105"/>
      <c r="P48" s="222"/>
      <c r="Q48" s="222"/>
      <c r="R48" s="222"/>
      <c r="S48" s="222"/>
      <c r="T48" s="222"/>
      <c r="U48" s="105"/>
      <c r="V48" s="105"/>
      <c r="W48" s="222"/>
      <c r="X48" s="222"/>
      <c r="Y48" s="222"/>
      <c r="Z48" s="222"/>
      <c r="AA48" s="222"/>
      <c r="AB48" s="105"/>
      <c r="AC48" s="105"/>
      <c r="AD48" s="556">
        <f t="shared" si="2"/>
        <v>0</v>
      </c>
    </row>
    <row r="49" spans="1:30" ht="28.9" hidden="1" thickBot="1">
      <c r="A49" s="9"/>
      <c r="B49" s="255"/>
      <c r="C49" s="246"/>
      <c r="D49" s="246"/>
      <c r="E49" s="246"/>
      <c r="F49" s="246"/>
      <c r="G49" s="108"/>
      <c r="H49" s="108"/>
      <c r="I49" s="246"/>
      <c r="J49" s="246"/>
      <c r="K49" s="246"/>
      <c r="L49" s="246"/>
      <c r="M49" s="246"/>
      <c r="N49" s="108"/>
      <c r="O49" s="108"/>
      <c r="P49" s="246"/>
      <c r="Q49" s="246"/>
      <c r="R49" s="246"/>
      <c r="S49" s="246"/>
      <c r="T49" s="246"/>
      <c r="U49" s="108"/>
      <c r="V49" s="108"/>
      <c r="W49" s="246"/>
      <c r="X49" s="246"/>
      <c r="Y49" s="246"/>
      <c r="Z49" s="246"/>
      <c r="AA49" s="246"/>
      <c r="AB49" s="108"/>
      <c r="AC49" s="108"/>
      <c r="AD49" s="560">
        <f t="shared" si="2"/>
        <v>0</v>
      </c>
    </row>
    <row r="50" spans="1:30" ht="28.9" hidden="1" thickBot="1">
      <c r="A50" s="170"/>
      <c r="B50" s="226"/>
      <c r="C50" s="227"/>
      <c r="D50" s="227"/>
      <c r="E50" s="227"/>
      <c r="F50" s="227"/>
      <c r="G50" s="133"/>
      <c r="H50" s="133"/>
      <c r="I50" s="227"/>
      <c r="J50" s="227"/>
      <c r="K50" s="227"/>
      <c r="L50" s="227"/>
      <c r="M50" s="227"/>
      <c r="N50" s="133"/>
      <c r="O50" s="133"/>
      <c r="P50" s="227"/>
      <c r="Q50" s="227"/>
      <c r="R50" s="227"/>
      <c r="S50" s="227"/>
      <c r="T50" s="227"/>
      <c r="U50" s="133"/>
      <c r="V50" s="133"/>
      <c r="W50" s="227"/>
      <c r="X50" s="227"/>
      <c r="Y50" s="227"/>
      <c r="Z50" s="227"/>
      <c r="AA50" s="227"/>
      <c r="AB50" s="133"/>
      <c r="AC50" s="133"/>
      <c r="AD50" s="561">
        <f t="shared" si="2"/>
        <v>0</v>
      </c>
    </row>
    <row r="51" spans="1:30" ht="28.9" hidden="1" thickBot="1">
      <c r="A51" s="167"/>
      <c r="B51" s="266"/>
      <c r="C51" s="222"/>
      <c r="D51" s="222"/>
      <c r="E51" s="222"/>
      <c r="F51" s="222"/>
      <c r="G51" s="105"/>
      <c r="H51" s="105"/>
      <c r="I51" s="222"/>
      <c r="J51" s="222"/>
      <c r="K51" s="222"/>
      <c r="L51" s="222"/>
      <c r="M51" s="222"/>
      <c r="N51" s="105"/>
      <c r="O51" s="105"/>
      <c r="P51" s="222"/>
      <c r="Q51" s="222"/>
      <c r="R51" s="222"/>
      <c r="S51" s="222"/>
      <c r="T51" s="222"/>
      <c r="U51" s="105"/>
      <c r="V51" s="105"/>
      <c r="W51" s="222"/>
      <c r="X51" s="222"/>
      <c r="Y51" s="222"/>
      <c r="Z51" s="222"/>
      <c r="AA51" s="222"/>
      <c r="AB51" s="105"/>
      <c r="AC51" s="105"/>
      <c r="AD51" s="556">
        <f t="shared" ref="AD51:AD53" si="4">SUM(B51:AC51)</f>
        <v>0</v>
      </c>
    </row>
    <row r="52" spans="1:30" ht="28.9" hidden="1" thickBot="1">
      <c r="A52" s="9"/>
      <c r="B52" s="255"/>
      <c r="C52" s="246"/>
      <c r="D52" s="246"/>
      <c r="E52" s="246"/>
      <c r="F52" s="246"/>
      <c r="G52" s="108"/>
      <c r="H52" s="108"/>
      <c r="I52" s="246"/>
      <c r="J52" s="246"/>
      <c r="K52" s="246"/>
      <c r="L52" s="246"/>
      <c r="M52" s="246"/>
      <c r="N52" s="108"/>
      <c r="O52" s="108"/>
      <c r="P52" s="246"/>
      <c r="Q52" s="246"/>
      <c r="R52" s="246"/>
      <c r="S52" s="246"/>
      <c r="T52" s="246"/>
      <c r="U52" s="108"/>
      <c r="V52" s="108"/>
      <c r="W52" s="246"/>
      <c r="X52" s="246"/>
      <c r="Y52" s="246"/>
      <c r="Z52" s="246"/>
      <c r="AA52" s="246"/>
      <c r="AB52" s="108"/>
      <c r="AC52" s="108"/>
      <c r="AD52" s="560">
        <f t="shared" si="4"/>
        <v>0</v>
      </c>
    </row>
    <row r="53" spans="1:30" ht="28.9" hidden="1" thickBot="1">
      <c r="A53" s="170"/>
      <c r="B53" s="226"/>
      <c r="C53" s="227"/>
      <c r="D53" s="227"/>
      <c r="E53" s="227"/>
      <c r="F53" s="227"/>
      <c r="G53" s="133"/>
      <c r="H53" s="133"/>
      <c r="I53" s="227"/>
      <c r="J53" s="227"/>
      <c r="K53" s="227"/>
      <c r="L53" s="227"/>
      <c r="M53" s="227"/>
      <c r="N53" s="133"/>
      <c r="O53" s="133"/>
      <c r="P53" s="227"/>
      <c r="Q53" s="227"/>
      <c r="R53" s="227"/>
      <c r="S53" s="227"/>
      <c r="T53" s="227"/>
      <c r="U53" s="133"/>
      <c r="V53" s="133"/>
      <c r="W53" s="227"/>
      <c r="X53" s="227"/>
      <c r="Y53" s="227"/>
      <c r="Z53" s="227"/>
      <c r="AA53" s="227"/>
      <c r="AB53" s="133"/>
      <c r="AC53" s="133"/>
      <c r="AD53" s="561">
        <f t="shared" si="4"/>
        <v>0</v>
      </c>
    </row>
    <row r="54" spans="1:30" ht="28.9" hidden="1" thickBot="1">
      <c r="A54" s="167"/>
      <c r="B54" s="266"/>
      <c r="C54" s="222"/>
      <c r="D54" s="222"/>
      <c r="E54" s="222"/>
      <c r="F54" s="222"/>
      <c r="G54" s="105"/>
      <c r="H54" s="105"/>
      <c r="I54" s="222"/>
      <c r="J54" s="222"/>
      <c r="K54" s="222"/>
      <c r="L54" s="222"/>
      <c r="M54" s="222"/>
      <c r="N54" s="105"/>
      <c r="O54" s="105"/>
      <c r="P54" s="222"/>
      <c r="Q54" s="222"/>
      <c r="R54" s="222"/>
      <c r="S54" s="222"/>
      <c r="T54" s="222"/>
      <c r="U54" s="105"/>
      <c r="V54" s="105"/>
      <c r="W54" s="222"/>
      <c r="X54" s="222"/>
      <c r="Y54" s="222"/>
      <c r="Z54" s="222"/>
      <c r="AA54" s="222"/>
      <c r="AB54" s="105"/>
      <c r="AC54" s="105"/>
      <c r="AD54" s="556">
        <f t="shared" si="1"/>
        <v>0</v>
      </c>
    </row>
    <row r="55" spans="1:30" ht="28.9" hidden="1" thickBot="1">
      <c r="A55" s="9"/>
      <c r="B55" s="255"/>
      <c r="C55" s="246"/>
      <c r="D55" s="246"/>
      <c r="E55" s="246"/>
      <c r="F55" s="246"/>
      <c r="G55" s="108"/>
      <c r="H55" s="108"/>
      <c r="I55" s="246"/>
      <c r="J55" s="246"/>
      <c r="K55" s="246"/>
      <c r="L55" s="246"/>
      <c r="M55" s="246"/>
      <c r="N55" s="108"/>
      <c r="O55" s="108"/>
      <c r="P55" s="246"/>
      <c r="Q55" s="246"/>
      <c r="R55" s="246"/>
      <c r="S55" s="246"/>
      <c r="T55" s="246"/>
      <c r="U55" s="108"/>
      <c r="V55" s="108"/>
      <c r="W55" s="246"/>
      <c r="X55" s="246"/>
      <c r="Y55" s="246"/>
      <c r="Z55" s="246"/>
      <c r="AA55" s="246"/>
      <c r="AB55" s="108"/>
      <c r="AC55" s="108"/>
      <c r="AD55" s="560">
        <f t="shared" si="1"/>
        <v>0</v>
      </c>
    </row>
    <row r="56" spans="1:30" ht="28.9" hidden="1" thickBot="1">
      <c r="A56" s="170"/>
      <c r="B56" s="226"/>
      <c r="C56" s="227"/>
      <c r="D56" s="227"/>
      <c r="E56" s="227"/>
      <c r="F56" s="227"/>
      <c r="G56" s="133"/>
      <c r="H56" s="133"/>
      <c r="I56" s="227"/>
      <c r="J56" s="227"/>
      <c r="K56" s="227"/>
      <c r="L56" s="227"/>
      <c r="M56" s="227"/>
      <c r="N56" s="133"/>
      <c r="O56" s="133"/>
      <c r="P56" s="227"/>
      <c r="Q56" s="227"/>
      <c r="R56" s="227"/>
      <c r="S56" s="227"/>
      <c r="T56" s="227"/>
      <c r="U56" s="133"/>
      <c r="V56" s="133"/>
      <c r="W56" s="227"/>
      <c r="X56" s="227"/>
      <c r="Y56" s="227"/>
      <c r="Z56" s="227"/>
      <c r="AA56" s="227"/>
      <c r="AB56" s="133"/>
      <c r="AC56" s="133"/>
      <c r="AD56" s="561">
        <f t="shared" si="1"/>
        <v>0</v>
      </c>
    </row>
    <row r="57" spans="1:30" ht="28.9" hidden="1" thickBot="1">
      <c r="A57" s="132"/>
      <c r="B57" s="266"/>
      <c r="C57" s="222"/>
      <c r="D57" s="222"/>
      <c r="E57" s="222"/>
      <c r="F57" s="222"/>
      <c r="G57" s="105"/>
      <c r="H57" s="105"/>
      <c r="I57" s="222"/>
      <c r="J57" s="222"/>
      <c r="K57" s="222"/>
      <c r="L57" s="222"/>
      <c r="M57" s="222"/>
      <c r="N57" s="105"/>
      <c r="O57" s="105"/>
      <c r="P57" s="222"/>
      <c r="Q57" s="222"/>
      <c r="R57" s="222"/>
      <c r="S57" s="222"/>
      <c r="T57" s="222"/>
      <c r="U57" s="105"/>
      <c r="V57" s="105"/>
      <c r="W57" s="222"/>
      <c r="X57" s="222"/>
      <c r="Y57" s="222"/>
      <c r="Z57" s="222"/>
      <c r="AA57" s="222"/>
      <c r="AB57" s="105"/>
      <c r="AC57" s="105"/>
      <c r="AD57" s="556">
        <f t="shared" si="1"/>
        <v>0</v>
      </c>
    </row>
    <row r="58" spans="1:30" ht="28.9" hidden="1" thickBot="1">
      <c r="A58" s="132"/>
      <c r="B58" s="255"/>
      <c r="C58" s="246"/>
      <c r="D58" s="246"/>
      <c r="E58" s="246"/>
      <c r="F58" s="246"/>
      <c r="G58" s="108"/>
      <c r="H58" s="108"/>
      <c r="I58" s="246"/>
      <c r="J58" s="246"/>
      <c r="K58" s="246"/>
      <c r="L58" s="246"/>
      <c r="M58" s="246"/>
      <c r="N58" s="108"/>
      <c r="O58" s="108"/>
      <c r="P58" s="246"/>
      <c r="Q58" s="246"/>
      <c r="R58" s="246"/>
      <c r="S58" s="246"/>
      <c r="T58" s="246"/>
      <c r="U58" s="108"/>
      <c r="V58" s="108"/>
      <c r="W58" s="246"/>
      <c r="X58" s="246"/>
      <c r="Y58" s="246"/>
      <c r="Z58" s="246"/>
      <c r="AA58" s="246"/>
      <c r="AB58" s="108"/>
      <c r="AC58" s="108"/>
      <c r="AD58" s="560">
        <f t="shared" si="1"/>
        <v>0</v>
      </c>
    </row>
    <row r="59" spans="1:30" ht="28.9" hidden="1" thickBot="1">
      <c r="A59" s="171"/>
      <c r="B59" s="226"/>
      <c r="C59" s="227"/>
      <c r="D59" s="227"/>
      <c r="E59" s="227"/>
      <c r="F59" s="227"/>
      <c r="G59" s="133"/>
      <c r="H59" s="133"/>
      <c r="I59" s="227"/>
      <c r="J59" s="227"/>
      <c r="K59" s="227"/>
      <c r="L59" s="227"/>
      <c r="M59" s="227"/>
      <c r="N59" s="133"/>
      <c r="O59" s="133"/>
      <c r="P59" s="227"/>
      <c r="Q59" s="227"/>
      <c r="R59" s="227"/>
      <c r="S59" s="227"/>
      <c r="T59" s="227"/>
      <c r="U59" s="133"/>
      <c r="V59" s="133"/>
      <c r="W59" s="227"/>
      <c r="X59" s="227"/>
      <c r="Y59" s="227"/>
      <c r="Z59" s="227"/>
      <c r="AA59" s="227"/>
      <c r="AB59" s="133"/>
      <c r="AC59" s="133"/>
      <c r="AD59" s="561">
        <f t="shared" si="1"/>
        <v>0</v>
      </c>
    </row>
    <row r="60" spans="1:30" ht="34.15" thickBot="1">
      <c r="A60" s="682" t="s">
        <v>40</v>
      </c>
      <c r="B60" s="324"/>
      <c r="C60" s="271"/>
      <c r="D60" s="325"/>
      <c r="E60" s="325"/>
      <c r="F60" s="325"/>
      <c r="G60" s="325"/>
      <c r="H60" s="271"/>
      <c r="I60" s="326"/>
      <c r="J60" s="326"/>
      <c r="K60" s="271"/>
      <c r="L60" s="271"/>
      <c r="M60" s="271"/>
      <c r="N60" s="271"/>
      <c r="O60" s="271"/>
      <c r="P60" s="271"/>
      <c r="Q60" s="271"/>
      <c r="R60" s="271"/>
      <c r="S60" s="271"/>
      <c r="T60" s="327"/>
      <c r="U60" s="328"/>
      <c r="V60" s="328"/>
      <c r="W60" s="328"/>
      <c r="X60" s="327"/>
      <c r="Y60" s="328"/>
      <c r="Z60" s="327"/>
      <c r="AA60" s="328"/>
      <c r="AB60" s="328"/>
      <c r="AC60" s="329"/>
      <c r="AD60" s="559" t="s">
        <v>41</v>
      </c>
    </row>
    <row r="61" spans="1:30" ht="34.15" thickBot="1">
      <c r="A61" s="683"/>
      <c r="B61" s="324"/>
      <c r="C61" s="271"/>
      <c r="D61" s="325"/>
      <c r="E61" s="325"/>
      <c r="F61" s="325"/>
      <c r="G61" s="330"/>
      <c r="H61" s="330"/>
      <c r="I61" s="326"/>
      <c r="J61" s="326"/>
      <c r="K61" s="271"/>
      <c r="L61" s="271"/>
      <c r="M61" s="330"/>
      <c r="N61" s="330"/>
      <c r="O61" s="271"/>
      <c r="P61" s="271"/>
      <c r="Q61" s="271"/>
      <c r="R61" s="271"/>
      <c r="S61" s="330"/>
      <c r="T61" s="330"/>
      <c r="U61" s="328"/>
      <c r="V61" s="328"/>
      <c r="W61" s="328"/>
      <c r="X61" s="327"/>
      <c r="Y61" s="330"/>
      <c r="Z61" s="330"/>
      <c r="AA61" s="328"/>
      <c r="AB61" s="328"/>
      <c r="AC61" s="329"/>
      <c r="AD61" s="499">
        <v>150</v>
      </c>
    </row>
    <row r="62" spans="1:30" ht="28.15">
      <c r="A62" s="11" t="s">
        <v>42</v>
      </c>
      <c r="B62" s="126"/>
      <c r="C62" s="12"/>
      <c r="D62" s="8"/>
      <c r="E62" s="8"/>
      <c r="F62" s="8"/>
      <c r="G62" s="8"/>
      <c r="H62" s="13"/>
      <c r="I62" s="7"/>
      <c r="J62" s="7"/>
      <c r="K62" s="20" t="s">
        <v>43</v>
      </c>
      <c r="L62" s="37"/>
      <c r="M62" s="37"/>
      <c r="N62" s="37"/>
      <c r="O62" s="37"/>
      <c r="P62" s="22"/>
      <c r="Q62" s="22"/>
      <c r="R62" s="128"/>
      <c r="S62" s="128" t="s">
        <v>44</v>
      </c>
      <c r="T62" s="23"/>
      <c r="U62" s="129"/>
      <c r="V62" s="7"/>
      <c r="W62" s="7"/>
      <c r="X62" s="76"/>
      <c r="Y62" s="14"/>
      <c r="Z62" s="14"/>
      <c r="AA62" s="14" t="s">
        <v>45</v>
      </c>
      <c r="AB62" s="14"/>
      <c r="AC62" s="14"/>
      <c r="AD62" s="77"/>
    </row>
    <row r="63" spans="1:30" ht="28.15">
      <c r="A63" s="16" t="s">
        <v>46</v>
      </c>
      <c r="B63" s="17"/>
      <c r="C63" s="17"/>
      <c r="D63" s="18"/>
      <c r="E63" s="18"/>
      <c r="F63" s="18"/>
      <c r="G63" s="18"/>
      <c r="H63" s="19"/>
      <c r="I63" s="7"/>
      <c r="J63" s="7"/>
      <c r="K63" s="20" t="s">
        <v>47</v>
      </c>
      <c r="L63" s="21"/>
      <c r="M63" s="21"/>
      <c r="N63" s="21"/>
      <c r="O63" s="21"/>
      <c r="P63" s="22"/>
      <c r="Q63" s="128"/>
      <c r="R63" s="128" t="s">
        <v>48</v>
      </c>
      <c r="S63" s="23"/>
      <c r="T63" s="23"/>
      <c r="U63" s="24"/>
      <c r="V63" s="7"/>
      <c r="W63" s="7"/>
      <c r="X63" s="25"/>
      <c r="Y63" s="26"/>
      <c r="Z63" s="26"/>
      <c r="AA63" s="26"/>
      <c r="AB63" s="26"/>
      <c r="AC63" s="26"/>
      <c r="AD63" s="15"/>
    </row>
    <row r="64" spans="1:30" ht="28.15">
      <c r="A64" s="27" t="s">
        <v>49</v>
      </c>
      <c r="B64" s="28"/>
      <c r="C64" s="28"/>
      <c r="D64" s="28"/>
      <c r="E64" s="28"/>
      <c r="F64" s="28"/>
      <c r="G64" s="28"/>
      <c r="H64" s="29"/>
      <c r="I64" s="7"/>
      <c r="J64" s="7"/>
      <c r="K64" s="20" t="s">
        <v>50</v>
      </c>
      <c r="L64" s="21"/>
      <c r="M64" s="21"/>
      <c r="N64" s="21"/>
      <c r="O64" s="21"/>
      <c r="P64" s="22"/>
      <c r="Q64" s="22"/>
      <c r="R64" s="22"/>
      <c r="S64" s="22"/>
      <c r="T64" s="22"/>
      <c r="U64" s="30"/>
      <c r="V64" s="7"/>
      <c r="W64" s="7"/>
      <c r="X64" s="31"/>
      <c r="Y64" s="26"/>
      <c r="Z64" s="26"/>
      <c r="AA64" s="26"/>
      <c r="AB64" s="26"/>
      <c r="AC64" s="26"/>
      <c r="AD64" s="15"/>
    </row>
    <row r="65" spans="1:30" ht="28.9">
      <c r="A65" s="32" t="s">
        <v>51</v>
      </c>
      <c r="B65" s="33"/>
      <c r="C65" s="33"/>
      <c r="D65" s="34"/>
      <c r="E65" s="34"/>
      <c r="F65" s="34"/>
      <c r="G65" s="34"/>
      <c r="H65" s="35"/>
      <c r="I65" s="36"/>
      <c r="J65" s="36"/>
      <c r="K65" s="20" t="s">
        <v>70</v>
      </c>
      <c r="L65" s="21"/>
      <c r="M65" s="21"/>
      <c r="N65" s="21"/>
      <c r="O65" s="21"/>
      <c r="P65" s="37"/>
      <c r="Q65" s="37"/>
      <c r="R65" s="37"/>
      <c r="S65" s="38"/>
      <c r="T65" s="37"/>
      <c r="U65" s="39"/>
      <c r="V65" s="40"/>
      <c r="W65" s="6"/>
      <c r="X65" s="701"/>
      <c r="Y65" s="702"/>
      <c r="Z65" s="702"/>
      <c r="AA65" s="702"/>
      <c r="AB65" s="702"/>
      <c r="AC65" s="702"/>
      <c r="AD65" s="703"/>
    </row>
    <row r="66" spans="1:30" ht="28.9">
      <c r="A66" s="42" t="s">
        <v>53</v>
      </c>
      <c r="B66" s="43"/>
      <c r="C66" s="43"/>
      <c r="D66" s="43"/>
      <c r="E66" s="43"/>
      <c r="F66" s="43"/>
      <c r="G66" s="43"/>
      <c r="H66" s="44"/>
      <c r="I66" s="36"/>
      <c r="J66" s="36"/>
      <c r="K66" s="20" t="s">
        <v>71</v>
      </c>
      <c r="L66" s="21"/>
      <c r="M66" s="21"/>
      <c r="N66" s="21"/>
      <c r="O66" s="21"/>
      <c r="P66" s="21"/>
      <c r="Q66" s="21"/>
      <c r="R66" s="21"/>
      <c r="S66" s="38"/>
      <c r="T66" s="37"/>
      <c r="U66" s="39"/>
      <c r="V66" s="40"/>
      <c r="W66" s="6"/>
      <c r="X66" s="41"/>
      <c r="Y66" s="45"/>
      <c r="Z66" s="46"/>
      <c r="AA66" s="45"/>
      <c r="AB66" s="45"/>
      <c r="AC66" s="45"/>
      <c r="AD66" s="15"/>
    </row>
    <row r="67" spans="1:30" ht="28.9">
      <c r="A67" s="47" t="s">
        <v>55</v>
      </c>
      <c r="B67" s="48"/>
      <c r="C67" s="48"/>
      <c r="D67" s="49"/>
      <c r="E67" s="49"/>
      <c r="F67" s="49"/>
      <c r="G67" s="49"/>
      <c r="H67" s="50"/>
      <c r="I67" s="36"/>
      <c r="J67" s="36"/>
      <c r="K67" s="20" t="s">
        <v>56</v>
      </c>
      <c r="L67" s="21"/>
      <c r="M67" s="21"/>
      <c r="N67" s="21"/>
      <c r="O67" s="21"/>
      <c r="P67" s="21"/>
      <c r="Q67" s="21"/>
      <c r="R67" s="21"/>
      <c r="S67" s="38"/>
      <c r="T67" s="37"/>
      <c r="U67" s="51"/>
      <c r="V67" s="40"/>
      <c r="W67" s="6"/>
      <c r="X67" s="41"/>
      <c r="Y67" s="45"/>
      <c r="Z67" s="46"/>
      <c r="AA67" s="45"/>
      <c r="AB67" s="45"/>
      <c r="AC67" s="45"/>
      <c r="AD67" s="15"/>
    </row>
    <row r="68" spans="1:30" ht="28.9">
      <c r="A68" s="52" t="s">
        <v>57</v>
      </c>
      <c r="B68" s="53"/>
      <c r="C68" s="53"/>
      <c r="D68" s="53"/>
      <c r="E68" s="53"/>
      <c r="F68" s="53"/>
      <c r="G68" s="53"/>
      <c r="H68" s="54"/>
      <c r="I68" s="36"/>
      <c r="J68" s="36"/>
      <c r="K68" s="20" t="s">
        <v>84</v>
      </c>
      <c r="L68" s="21"/>
      <c r="M68" s="21"/>
      <c r="N68" s="21"/>
      <c r="O68" s="21"/>
      <c r="P68" s="21"/>
      <c r="Q68" s="21" t="s">
        <v>59</v>
      </c>
      <c r="R68" s="21"/>
      <c r="S68" s="38"/>
      <c r="T68" s="37"/>
      <c r="U68" s="39"/>
      <c r="V68" s="40"/>
      <c r="W68" s="6"/>
      <c r="X68" s="41"/>
      <c r="Y68" s="45"/>
      <c r="Z68" s="46"/>
      <c r="AA68" s="45"/>
      <c r="AB68" s="45"/>
      <c r="AC68" s="45"/>
      <c r="AD68" s="55"/>
    </row>
    <row r="69" spans="1:30" ht="28.9">
      <c r="A69" s="56" t="s">
        <v>60</v>
      </c>
      <c r="B69" s="57"/>
      <c r="C69" s="57"/>
      <c r="D69" s="58"/>
      <c r="E69" s="58"/>
      <c r="F69" s="58"/>
      <c r="G69" s="58"/>
      <c r="H69" s="59"/>
      <c r="I69" s="6"/>
      <c r="J69" s="6"/>
      <c r="K69" s="20" t="s">
        <v>61</v>
      </c>
      <c r="L69" s="21"/>
      <c r="M69" s="21"/>
      <c r="N69" s="21"/>
      <c r="O69" s="21"/>
      <c r="P69" s="21"/>
      <c r="Q69" s="21"/>
      <c r="R69" s="21"/>
      <c r="S69" s="38"/>
      <c r="T69" s="37"/>
      <c r="U69" s="51"/>
      <c r="V69" s="6"/>
      <c r="W69" s="6"/>
      <c r="X69" s="41"/>
      <c r="Y69" s="45"/>
      <c r="Z69" s="46"/>
      <c r="AA69" s="45"/>
      <c r="AB69" s="45"/>
      <c r="AC69" s="45"/>
      <c r="AD69" s="55"/>
    </row>
    <row r="70" spans="1:30" ht="29.45" thickBot="1">
      <c r="A70" s="60" t="s">
        <v>62</v>
      </c>
      <c r="B70" s="61"/>
      <c r="C70" s="61"/>
      <c r="D70" s="61"/>
      <c r="E70" s="61"/>
      <c r="F70" s="61"/>
      <c r="G70" s="61"/>
      <c r="H70" s="62"/>
      <c r="I70" s="6"/>
      <c r="J70" s="6"/>
      <c r="K70" s="63" t="s">
        <v>63</v>
      </c>
      <c r="L70" s="64"/>
      <c r="M70" s="64"/>
      <c r="N70" s="64"/>
      <c r="O70" s="64"/>
      <c r="P70" s="64"/>
      <c r="Q70" s="64"/>
      <c r="R70" s="64"/>
      <c r="S70" s="65"/>
      <c r="T70" s="66"/>
      <c r="U70" s="67"/>
      <c r="V70" s="6"/>
      <c r="W70" s="6"/>
      <c r="X70" s="68"/>
      <c r="Y70" s="69"/>
      <c r="Z70" s="70"/>
      <c r="AA70" s="69"/>
      <c r="AB70" s="69"/>
      <c r="AC70" s="69"/>
      <c r="AD70" s="71"/>
    </row>
    <row r="71" spans="1:30" ht="28.9">
      <c r="A71" s="6"/>
      <c r="B71" s="6"/>
      <c r="C71" s="6"/>
      <c r="D71" s="6"/>
      <c r="E71" s="6"/>
      <c r="F71" s="6"/>
      <c r="G71" s="6"/>
      <c r="H71" s="6"/>
      <c r="I71" s="6"/>
      <c r="J71" s="72"/>
      <c r="K71" s="73"/>
      <c r="L71" s="74"/>
      <c r="M71" s="74"/>
      <c r="N71" s="74"/>
      <c r="O71" s="74"/>
      <c r="P71" s="74"/>
      <c r="Q71" s="74"/>
      <c r="R71" s="72"/>
      <c r="S71" s="72"/>
      <c r="T71" s="72"/>
      <c r="U71" s="72"/>
      <c r="V71" s="72"/>
      <c r="W71" s="72"/>
      <c r="X71" s="72"/>
      <c r="Y71" s="72"/>
      <c r="Z71" s="6"/>
      <c r="AA71" s="6"/>
      <c r="AB71" s="6"/>
      <c r="AC71" s="6"/>
      <c r="AD71" s="6"/>
    </row>
    <row r="72" spans="1:30" ht="28.9">
      <c r="A72" s="6" t="s">
        <v>64</v>
      </c>
      <c r="B72" s="6"/>
      <c r="C72" s="6"/>
      <c r="D72" s="6"/>
      <c r="E72" s="6"/>
      <c r="F72" s="6"/>
      <c r="G72" s="6"/>
      <c r="H72" s="6" t="s">
        <v>65</v>
      </c>
      <c r="I72" s="6"/>
      <c r="J72" s="72"/>
      <c r="K72" s="73"/>
      <c r="L72" s="74"/>
      <c r="M72" s="74"/>
      <c r="N72" s="74"/>
      <c r="O72" s="74" t="s">
        <v>66</v>
      </c>
      <c r="P72" s="74"/>
      <c r="Q72" s="72"/>
      <c r="R72" s="72"/>
      <c r="S72" s="72"/>
      <c r="T72" s="72"/>
      <c r="U72" s="72"/>
      <c r="V72" s="72"/>
      <c r="W72" s="72"/>
      <c r="X72" s="72"/>
      <c r="Y72" s="72" t="s">
        <v>67</v>
      </c>
      <c r="Z72" s="6"/>
      <c r="AA72" s="6"/>
      <c r="AB72" s="6"/>
      <c r="AC72" s="6"/>
      <c r="AD72" s="6"/>
    </row>
    <row r="73" spans="1:30" ht="28.9">
      <c r="O73" s="74" t="s">
        <v>68</v>
      </c>
      <c r="P73" s="74"/>
    </row>
  </sheetData>
  <mergeCells count="2">
    <mergeCell ref="X65:AD65"/>
    <mergeCell ref="A60:A61"/>
  </mergeCells>
  <pageMargins left="0.7" right="0.7" top="0.75" bottom="0.75" header="0.3" footer="0.3"/>
  <pageSetup paperSize="9" orientation="landscape"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C55F2-E914-8E40-806C-B49690AF5FE0}">
  <dimension ref="A1:AI80"/>
  <sheetViews>
    <sheetView showGridLines="0" zoomScale="38" zoomScaleNormal="40" workbookViewId="0">
      <selection activeCell="AG62" sqref="AG62"/>
    </sheetView>
  </sheetViews>
  <sheetFormatPr defaultColWidth="8.7109375" defaultRowHeight="14.45"/>
  <cols>
    <col min="1" max="1" width="19.7109375" customWidth="1"/>
    <col min="4" max="4" width="8.7109375" style="1"/>
    <col min="5" max="5" width="8.7109375" customWidth="1"/>
    <col min="11" max="11" width="8.140625" customWidth="1"/>
    <col min="23" max="23" width="9.42578125" customWidth="1"/>
    <col min="26" max="26" width="9.140625" customWidth="1"/>
    <col min="33" max="33" width="11.7109375" customWidth="1"/>
    <col min="34" max="34" width="21.42578125" customWidth="1"/>
  </cols>
  <sheetData>
    <row r="1" spans="1:34" ht="28.9" thickTop="1" thickBot="1">
      <c r="A1" s="185" t="s">
        <v>0</v>
      </c>
      <c r="B1" s="280">
        <v>1</v>
      </c>
      <c r="C1" s="281">
        <v>2</v>
      </c>
      <c r="D1" s="281">
        <v>3</v>
      </c>
      <c r="E1" s="282">
        <v>4</v>
      </c>
      <c r="F1" s="281">
        <v>5</v>
      </c>
      <c r="G1" s="140">
        <v>6</v>
      </c>
      <c r="H1" s="140">
        <v>7</v>
      </c>
      <c r="I1" s="281">
        <v>8</v>
      </c>
      <c r="J1" s="281">
        <v>9</v>
      </c>
      <c r="K1" s="281">
        <v>10</v>
      </c>
      <c r="L1" s="402">
        <v>11</v>
      </c>
      <c r="M1" s="284">
        <v>12</v>
      </c>
      <c r="N1" s="140">
        <v>13</v>
      </c>
      <c r="O1" s="140">
        <v>14</v>
      </c>
      <c r="P1" s="283">
        <v>15</v>
      </c>
      <c r="Q1" s="281">
        <v>16</v>
      </c>
      <c r="R1" s="283">
        <v>17</v>
      </c>
      <c r="S1" s="281">
        <v>18</v>
      </c>
      <c r="T1" s="281">
        <v>19</v>
      </c>
      <c r="U1" s="142">
        <v>20</v>
      </c>
      <c r="V1" s="140">
        <v>21</v>
      </c>
      <c r="W1" s="283">
        <v>22</v>
      </c>
      <c r="X1" s="281">
        <v>23</v>
      </c>
      <c r="Y1" s="283">
        <v>24</v>
      </c>
      <c r="Z1" s="369">
        <v>25</v>
      </c>
      <c r="AA1" s="283">
        <v>26</v>
      </c>
      <c r="AB1" s="140">
        <v>27</v>
      </c>
      <c r="AC1" s="142">
        <v>28</v>
      </c>
      <c r="AD1" s="281">
        <v>29</v>
      </c>
      <c r="AE1" s="281">
        <v>30</v>
      </c>
      <c r="AF1" s="285">
        <v>31</v>
      </c>
      <c r="AG1" s="176" t="s">
        <v>1</v>
      </c>
      <c r="AH1" s="485" t="s">
        <v>2</v>
      </c>
    </row>
    <row r="2" spans="1:34" ht="29.45" thickBot="1">
      <c r="A2" s="186" t="s">
        <v>85</v>
      </c>
      <c r="B2" s="119" t="s">
        <v>9</v>
      </c>
      <c r="C2" s="120" t="s">
        <v>10</v>
      </c>
      <c r="D2" s="120" t="s">
        <v>4</v>
      </c>
      <c r="E2" s="120" t="s">
        <v>5</v>
      </c>
      <c r="F2" s="120" t="s">
        <v>6</v>
      </c>
      <c r="G2" s="346" t="s">
        <v>7</v>
      </c>
      <c r="H2" s="181" t="s">
        <v>8</v>
      </c>
      <c r="I2" s="119" t="s">
        <v>9</v>
      </c>
      <c r="J2" s="120" t="s">
        <v>10</v>
      </c>
      <c r="K2" s="120" t="s">
        <v>4</v>
      </c>
      <c r="L2" s="407" t="s">
        <v>5</v>
      </c>
      <c r="M2" s="120" t="s">
        <v>6</v>
      </c>
      <c r="N2" s="346" t="s">
        <v>7</v>
      </c>
      <c r="O2" s="181" t="s">
        <v>8</v>
      </c>
      <c r="P2" s="119" t="s">
        <v>9</v>
      </c>
      <c r="Q2" s="120" t="s">
        <v>10</v>
      </c>
      <c r="R2" s="120" t="s">
        <v>4</v>
      </c>
      <c r="S2" s="120" t="s">
        <v>5</v>
      </c>
      <c r="T2" s="120" t="s">
        <v>6</v>
      </c>
      <c r="U2" s="346" t="s">
        <v>7</v>
      </c>
      <c r="V2" s="181" t="s">
        <v>8</v>
      </c>
      <c r="W2" s="119" t="s">
        <v>9</v>
      </c>
      <c r="X2" s="120" t="s">
        <v>10</v>
      </c>
      <c r="Y2" s="120" t="s">
        <v>4</v>
      </c>
      <c r="Z2" s="407" t="s">
        <v>5</v>
      </c>
      <c r="AA2" s="120" t="s">
        <v>6</v>
      </c>
      <c r="AB2" s="346" t="s">
        <v>7</v>
      </c>
      <c r="AC2" s="181" t="s">
        <v>8</v>
      </c>
      <c r="AD2" s="287" t="s">
        <v>9</v>
      </c>
      <c r="AE2" s="120" t="s">
        <v>10</v>
      </c>
      <c r="AF2" s="120" t="s">
        <v>4</v>
      </c>
      <c r="AG2" s="214">
        <f>SUM(AG5,AG8,AG11,AG17,AG20,AG23,AG26,AG29,AG32,AG35,AG38,AG41,AG44,AG47,AG50,AG53,AG56,AG59)</f>
        <v>62</v>
      </c>
      <c r="AH2" s="486" t="s">
        <v>11</v>
      </c>
    </row>
    <row r="3" spans="1:34" ht="28.9" thickBot="1">
      <c r="A3" s="146" t="s">
        <v>12</v>
      </c>
      <c r="B3" s="627" t="s">
        <v>13</v>
      </c>
      <c r="C3" s="624" t="s">
        <v>13</v>
      </c>
      <c r="D3" s="624" t="s">
        <v>13</v>
      </c>
      <c r="E3" s="624" t="s">
        <v>13</v>
      </c>
      <c r="F3" s="624" t="s">
        <v>13</v>
      </c>
      <c r="G3" s="624"/>
      <c r="H3" s="624"/>
      <c r="I3" s="220" t="s">
        <v>13</v>
      </c>
      <c r="J3" s="220" t="s">
        <v>13</v>
      </c>
      <c r="K3" s="220" t="s">
        <v>13</v>
      </c>
      <c r="L3" s="382" t="s">
        <v>13</v>
      </c>
      <c r="M3" s="293" t="s">
        <v>13</v>
      </c>
      <c r="N3" s="122"/>
      <c r="O3" s="122"/>
      <c r="P3" s="624" t="s">
        <v>13</v>
      </c>
      <c r="Q3" s="624" t="s">
        <v>13</v>
      </c>
      <c r="R3" s="624" t="s">
        <v>13</v>
      </c>
      <c r="S3" s="624" t="s">
        <v>13</v>
      </c>
      <c r="T3" s="624" t="s">
        <v>13</v>
      </c>
      <c r="U3" s="624"/>
      <c r="V3" s="624"/>
      <c r="W3" s="220" t="s">
        <v>13</v>
      </c>
      <c r="X3" s="220" t="s">
        <v>13</v>
      </c>
      <c r="Y3" s="220" t="s">
        <v>13</v>
      </c>
      <c r="Z3" s="382" t="s">
        <v>13</v>
      </c>
      <c r="AA3" s="293" t="s">
        <v>13</v>
      </c>
      <c r="AB3" s="122"/>
      <c r="AC3" s="122"/>
      <c r="AD3" s="624" t="s">
        <v>13</v>
      </c>
      <c r="AE3" s="624" t="s">
        <v>13</v>
      </c>
      <c r="AF3" s="624" t="s">
        <v>13</v>
      </c>
      <c r="AG3" s="215">
        <f t="shared" ref="AG3:AG32" si="0">SUM(B3:AF3)</f>
        <v>0</v>
      </c>
      <c r="AH3" s="487"/>
    </row>
    <row r="4" spans="1:34" ht="28.9" thickBot="1">
      <c r="A4" s="146" t="s">
        <v>14</v>
      </c>
      <c r="B4" s="224">
        <v>7.5</v>
      </c>
      <c r="C4" s="224">
        <v>7.5</v>
      </c>
      <c r="D4" s="224">
        <v>7.5</v>
      </c>
      <c r="E4" s="224">
        <v>7.5</v>
      </c>
      <c r="F4" s="224">
        <v>7.5</v>
      </c>
      <c r="G4" s="103"/>
      <c r="H4" s="103"/>
      <c r="I4" s="224">
        <v>7.5</v>
      </c>
      <c r="J4" s="224">
        <v>7.5</v>
      </c>
      <c r="K4" s="224">
        <v>7.5</v>
      </c>
      <c r="L4" s="372">
        <v>7.5</v>
      </c>
      <c r="M4" s="224">
        <v>7.5</v>
      </c>
      <c r="N4" s="103"/>
      <c r="O4" s="103"/>
      <c r="P4" s="224">
        <v>7.5</v>
      </c>
      <c r="Q4" s="224">
        <v>7.5</v>
      </c>
      <c r="R4" s="224">
        <v>7.5</v>
      </c>
      <c r="S4" s="224">
        <v>7.5</v>
      </c>
      <c r="T4" s="224">
        <v>7.5</v>
      </c>
      <c r="U4" s="103"/>
      <c r="V4" s="103"/>
      <c r="W4" s="224">
        <v>7.5</v>
      </c>
      <c r="X4" s="224">
        <v>7.5</v>
      </c>
      <c r="Y4" s="224">
        <v>7.5</v>
      </c>
      <c r="Z4" s="372">
        <v>7.5</v>
      </c>
      <c r="AA4" s="224">
        <v>7.5</v>
      </c>
      <c r="AB4" s="103"/>
      <c r="AC4" s="103"/>
      <c r="AD4" s="224">
        <v>7.5</v>
      </c>
      <c r="AE4" s="224">
        <v>7.5</v>
      </c>
      <c r="AF4" s="224">
        <v>7.5</v>
      </c>
      <c r="AG4" s="496">
        <f t="shared" si="0"/>
        <v>172.5</v>
      </c>
      <c r="AH4" s="488"/>
    </row>
    <row r="5" spans="1:34" ht="28.9" thickBot="1">
      <c r="A5" s="368" t="s">
        <v>15</v>
      </c>
      <c r="B5" s="223"/>
      <c r="C5" s="224"/>
      <c r="D5" s="224"/>
      <c r="E5" s="294"/>
      <c r="F5" s="224"/>
      <c r="G5" s="103"/>
      <c r="H5" s="103"/>
      <c r="I5" s="224"/>
      <c r="J5" s="224"/>
      <c r="K5" s="257"/>
      <c r="L5" s="372"/>
      <c r="M5" s="257"/>
      <c r="N5" s="103"/>
      <c r="O5" s="145"/>
      <c r="P5" s="224"/>
      <c r="Q5" s="257"/>
      <c r="R5" s="224"/>
      <c r="S5" s="224"/>
      <c r="T5" s="257"/>
      <c r="U5" s="103"/>
      <c r="V5" s="145"/>
      <c r="W5" s="224"/>
      <c r="X5" s="257"/>
      <c r="Y5" s="224"/>
      <c r="Z5" s="422"/>
      <c r="AA5" s="225"/>
      <c r="AB5" s="103"/>
      <c r="AC5" s="145"/>
      <c r="AD5" s="224"/>
      <c r="AE5" s="224"/>
      <c r="AF5" s="224"/>
      <c r="AG5" s="497">
        <f t="shared" si="0"/>
        <v>0</v>
      </c>
      <c r="AH5" s="489"/>
    </row>
    <row r="6" spans="1:34" ht="28.9" thickBot="1">
      <c r="A6" s="146" t="s">
        <v>16</v>
      </c>
      <c r="B6" s="292" t="s">
        <v>13</v>
      </c>
      <c r="C6" s="220" t="s">
        <v>13</v>
      </c>
      <c r="D6" s="220" t="s">
        <v>13</v>
      </c>
      <c r="E6" s="220" t="s">
        <v>13</v>
      </c>
      <c r="F6" s="220" t="s">
        <v>13</v>
      </c>
      <c r="G6" s="122"/>
      <c r="H6" s="122"/>
      <c r="I6" s="624" t="s">
        <v>13</v>
      </c>
      <c r="J6" s="624" t="s">
        <v>13</v>
      </c>
      <c r="K6" s="624" t="s">
        <v>13</v>
      </c>
      <c r="L6" s="624" t="s">
        <v>13</v>
      </c>
      <c r="M6" s="628" t="s">
        <v>13</v>
      </c>
      <c r="N6" s="624"/>
      <c r="O6" s="624"/>
      <c r="P6" s="220" t="s">
        <v>13</v>
      </c>
      <c r="Q6" s="220" t="s">
        <v>13</v>
      </c>
      <c r="R6" s="220" t="s">
        <v>13</v>
      </c>
      <c r="S6" s="220" t="s">
        <v>13</v>
      </c>
      <c r="T6" s="220" t="s">
        <v>13</v>
      </c>
      <c r="U6" s="122"/>
      <c r="V6" s="122"/>
      <c r="W6" s="624" t="s">
        <v>13</v>
      </c>
      <c r="X6" s="624" t="s">
        <v>13</v>
      </c>
      <c r="Y6" s="624" t="s">
        <v>13</v>
      </c>
      <c r="Z6" s="624" t="s">
        <v>13</v>
      </c>
      <c r="AA6" s="628" t="s">
        <v>13</v>
      </c>
      <c r="AB6" s="624"/>
      <c r="AC6" s="624"/>
      <c r="AD6" s="220" t="s">
        <v>13</v>
      </c>
      <c r="AE6" s="220" t="s">
        <v>13</v>
      </c>
      <c r="AF6" s="220" t="s">
        <v>13</v>
      </c>
      <c r="AG6" s="215">
        <f t="shared" si="0"/>
        <v>0</v>
      </c>
      <c r="AH6" s="490"/>
    </row>
    <row r="7" spans="1:34" ht="28.9" thickBot="1">
      <c r="A7" s="146" t="s">
        <v>19</v>
      </c>
      <c r="B7" s="224">
        <v>7.5</v>
      </c>
      <c r="C7" s="224">
        <v>7.5</v>
      </c>
      <c r="D7" s="224">
        <v>7.5</v>
      </c>
      <c r="E7" s="224">
        <v>7.5</v>
      </c>
      <c r="F7" s="224">
        <v>7.5</v>
      </c>
      <c r="G7" s="103"/>
      <c r="H7" s="103"/>
      <c r="I7" s="224">
        <v>7.5</v>
      </c>
      <c r="J7" s="224">
        <v>7.5</v>
      </c>
      <c r="K7" s="224">
        <v>7.5</v>
      </c>
      <c r="L7" s="372">
        <v>7.5</v>
      </c>
      <c r="M7" s="224">
        <v>7.5</v>
      </c>
      <c r="N7" s="103"/>
      <c r="O7" s="103"/>
      <c r="P7" s="224">
        <v>7.5</v>
      </c>
      <c r="Q7" s="224">
        <v>7.5</v>
      </c>
      <c r="R7" s="224">
        <v>7.5</v>
      </c>
      <c r="S7" s="224">
        <v>7.5</v>
      </c>
      <c r="T7" s="224">
        <v>7.5</v>
      </c>
      <c r="U7" s="103"/>
      <c r="V7" s="103"/>
      <c r="W7" s="224">
        <v>7.5</v>
      </c>
      <c r="X7" s="224">
        <v>7.5</v>
      </c>
      <c r="Y7" s="224">
        <v>7.5</v>
      </c>
      <c r="Z7" s="372">
        <v>7.5</v>
      </c>
      <c r="AA7" s="224">
        <v>7.5</v>
      </c>
      <c r="AB7" s="103"/>
      <c r="AC7" s="103"/>
      <c r="AD7" s="224">
        <v>7.5</v>
      </c>
      <c r="AE7" s="224">
        <v>7.5</v>
      </c>
      <c r="AF7" s="224">
        <v>7.5</v>
      </c>
      <c r="AG7" s="496">
        <f t="shared" si="0"/>
        <v>172.5</v>
      </c>
      <c r="AH7" s="491">
        <f>SUM(AG7-AG61)</f>
        <v>7</v>
      </c>
    </row>
    <row r="8" spans="1:34" ht="28.9" thickBot="1">
      <c r="A8" s="368" t="s">
        <v>20</v>
      </c>
      <c r="B8" s="631"/>
      <c r="C8" s="632"/>
      <c r="D8" s="632"/>
      <c r="E8" s="642"/>
      <c r="F8" s="632"/>
      <c r="G8" s="634"/>
      <c r="H8" s="634"/>
      <c r="I8" s="632"/>
      <c r="J8" s="632"/>
      <c r="K8" s="636"/>
      <c r="L8" s="635"/>
      <c r="M8" s="636"/>
      <c r="N8" s="634"/>
      <c r="O8" s="637"/>
      <c r="P8" s="632"/>
      <c r="Q8" s="636"/>
      <c r="R8" s="632"/>
      <c r="S8" s="632"/>
      <c r="T8" s="636"/>
      <c r="U8" s="634"/>
      <c r="V8" s="637"/>
      <c r="W8" s="632"/>
      <c r="X8" s="636"/>
      <c r="Y8" s="632"/>
      <c r="Z8" s="647"/>
      <c r="AA8" s="643"/>
      <c r="AB8" s="634"/>
      <c r="AC8" s="637"/>
      <c r="AD8" s="632"/>
      <c r="AE8" s="632"/>
      <c r="AF8" s="640"/>
      <c r="AG8" s="497">
        <f t="shared" si="0"/>
        <v>0</v>
      </c>
      <c r="AH8" s="492"/>
    </row>
    <row r="9" spans="1:34" ht="28.9" thickBot="1">
      <c r="A9" s="146" t="s">
        <v>21</v>
      </c>
      <c r="B9" s="223" t="s">
        <v>18</v>
      </c>
      <c r="C9" s="224"/>
      <c r="D9" s="224"/>
      <c r="E9" s="248"/>
      <c r="F9" s="246"/>
      <c r="G9" s="103" t="s">
        <v>18</v>
      </c>
      <c r="H9" s="103" t="s">
        <v>18</v>
      </c>
      <c r="I9" s="224"/>
      <c r="J9" s="224"/>
      <c r="K9" s="224"/>
      <c r="L9" s="408"/>
      <c r="M9" s="247" t="s">
        <v>18</v>
      </c>
      <c r="N9" s="103" t="s">
        <v>18</v>
      </c>
      <c r="O9" s="103"/>
      <c r="P9" s="246"/>
      <c r="Q9" s="248"/>
      <c r="R9" s="246"/>
      <c r="S9" s="246" t="s">
        <v>18</v>
      </c>
      <c r="T9" s="248" t="s">
        <v>18</v>
      </c>
      <c r="U9" s="108"/>
      <c r="V9" s="108"/>
      <c r="W9" s="248"/>
      <c r="X9" s="247"/>
      <c r="Y9" s="246" t="s">
        <v>18</v>
      </c>
      <c r="Z9" s="375" t="s">
        <v>18</v>
      </c>
      <c r="AA9" s="246"/>
      <c r="AB9" s="108"/>
      <c r="AC9" s="107"/>
      <c r="AD9" s="248"/>
      <c r="AE9" s="248" t="s">
        <v>18</v>
      </c>
      <c r="AF9" s="248" t="s">
        <v>18</v>
      </c>
      <c r="AG9" s="215">
        <f t="shared" si="0"/>
        <v>0</v>
      </c>
      <c r="AH9" s="493"/>
    </row>
    <row r="10" spans="1:34" ht="28.9" thickBot="1">
      <c r="A10" s="146" t="s">
        <v>22</v>
      </c>
      <c r="B10" s="255">
        <v>15</v>
      </c>
      <c r="C10" s="246">
        <v>0.5</v>
      </c>
      <c r="D10" s="246"/>
      <c r="E10" s="248"/>
      <c r="F10" s="246"/>
      <c r="G10" s="108">
        <v>15</v>
      </c>
      <c r="H10" s="107">
        <v>15</v>
      </c>
      <c r="I10" s="246">
        <v>0.5</v>
      </c>
      <c r="J10" s="246"/>
      <c r="K10" s="248"/>
      <c r="L10" s="376">
        <v>5</v>
      </c>
      <c r="M10" s="247">
        <v>15</v>
      </c>
      <c r="N10" s="108">
        <v>15</v>
      </c>
      <c r="O10" s="108">
        <v>0.5</v>
      </c>
      <c r="P10" s="246"/>
      <c r="Q10" s="248"/>
      <c r="R10" s="246"/>
      <c r="S10" s="246">
        <v>15</v>
      </c>
      <c r="T10" s="248">
        <v>15</v>
      </c>
      <c r="U10" s="108">
        <v>0.5</v>
      </c>
      <c r="V10" s="108"/>
      <c r="W10" s="248"/>
      <c r="X10" s="246"/>
      <c r="Y10" s="246">
        <v>15</v>
      </c>
      <c r="Z10" s="375">
        <v>15</v>
      </c>
      <c r="AA10" s="247">
        <v>0.5</v>
      </c>
      <c r="AB10" s="108"/>
      <c r="AC10" s="107"/>
      <c r="AD10" s="248"/>
      <c r="AE10" s="248">
        <v>15</v>
      </c>
      <c r="AF10" s="248">
        <v>15</v>
      </c>
      <c r="AG10" s="496">
        <f t="shared" si="0"/>
        <v>172.5</v>
      </c>
      <c r="AH10" s="491">
        <f>SUM(AG10-AG61)</f>
        <v>7</v>
      </c>
    </row>
    <row r="11" spans="1:34" ht="28.9" thickBot="1">
      <c r="A11" s="368" t="s">
        <v>23</v>
      </c>
      <c r="B11" s="226">
        <v>1</v>
      </c>
      <c r="C11" s="227"/>
      <c r="D11" s="227"/>
      <c r="E11" s="228"/>
      <c r="F11" s="227"/>
      <c r="G11" s="133">
        <v>1</v>
      </c>
      <c r="H11" s="133">
        <v>1</v>
      </c>
      <c r="I11" s="227"/>
      <c r="J11" s="227"/>
      <c r="K11" s="229"/>
      <c r="L11" s="373"/>
      <c r="M11" s="229">
        <v>1</v>
      </c>
      <c r="N11" s="133">
        <v>1</v>
      </c>
      <c r="O11" s="133"/>
      <c r="P11" s="228"/>
      <c r="Q11" s="229"/>
      <c r="R11" s="227"/>
      <c r="S11" s="227">
        <v>1</v>
      </c>
      <c r="T11" s="229">
        <v>1</v>
      </c>
      <c r="U11" s="133"/>
      <c r="V11" s="134"/>
      <c r="W11" s="227"/>
      <c r="X11" s="229"/>
      <c r="Y11" s="227">
        <v>1</v>
      </c>
      <c r="Z11" s="380">
        <v>1</v>
      </c>
      <c r="AA11" s="230"/>
      <c r="AB11" s="133"/>
      <c r="AC11" s="134"/>
      <c r="AD11" s="227"/>
      <c r="AE11" s="227">
        <v>1</v>
      </c>
      <c r="AF11" s="227">
        <v>1</v>
      </c>
      <c r="AG11" s="497">
        <f t="shared" si="0"/>
        <v>11</v>
      </c>
      <c r="AH11" s="494"/>
    </row>
    <row r="12" spans="1:34" ht="30" hidden="1" customHeight="1" thickBot="1">
      <c r="A12" s="146"/>
      <c r="B12" s="218"/>
      <c r="C12" s="219"/>
      <c r="D12" s="262"/>
      <c r="E12" s="298"/>
      <c r="F12" s="222"/>
      <c r="G12" s="114"/>
      <c r="H12" s="114"/>
      <c r="I12" s="219"/>
      <c r="J12" s="262"/>
      <c r="K12" s="299"/>
      <c r="L12" s="379"/>
      <c r="M12" s="256"/>
      <c r="N12" s="114"/>
      <c r="O12" s="114"/>
      <c r="P12" s="222"/>
      <c r="Q12" s="253"/>
      <c r="R12" s="222"/>
      <c r="S12" s="222"/>
      <c r="T12" s="253"/>
      <c r="U12" s="105"/>
      <c r="V12" s="105"/>
      <c r="W12" s="253"/>
      <c r="X12" s="222"/>
      <c r="Y12" s="222"/>
      <c r="Z12" s="401"/>
      <c r="AA12" s="256"/>
      <c r="AB12" s="105"/>
      <c r="AC12" s="111"/>
      <c r="AD12" s="253"/>
      <c r="AE12" s="253"/>
      <c r="AF12" s="253"/>
      <c r="AG12" s="215">
        <f t="shared" si="0"/>
        <v>0</v>
      </c>
      <c r="AH12" s="490"/>
    </row>
    <row r="13" spans="1:34" ht="30" hidden="1" customHeight="1" thickBot="1">
      <c r="A13" s="146"/>
      <c r="B13" s="255"/>
      <c r="C13" s="246"/>
      <c r="D13" s="297"/>
      <c r="E13" s="300"/>
      <c r="F13" s="246"/>
      <c r="G13" s="108"/>
      <c r="H13" s="107"/>
      <c r="I13" s="246"/>
      <c r="J13" s="297"/>
      <c r="K13" s="300"/>
      <c r="L13" s="376"/>
      <c r="M13" s="247"/>
      <c r="N13" s="108"/>
      <c r="O13" s="108"/>
      <c r="P13" s="246"/>
      <c r="Q13" s="248"/>
      <c r="R13" s="246"/>
      <c r="S13" s="246"/>
      <c r="T13" s="248"/>
      <c r="U13" s="108"/>
      <c r="V13" s="108"/>
      <c r="W13" s="248"/>
      <c r="X13" s="246"/>
      <c r="Y13" s="246"/>
      <c r="Z13" s="375"/>
      <c r="AA13" s="247"/>
      <c r="AB13" s="108"/>
      <c r="AC13" s="107"/>
      <c r="AD13" s="248"/>
      <c r="AE13" s="248"/>
      <c r="AF13" s="248"/>
      <c r="AG13" s="496">
        <f t="shared" si="0"/>
        <v>0</v>
      </c>
      <c r="AH13" s="491">
        <f>SUM(AG13-AG58)</f>
        <v>0</v>
      </c>
    </row>
    <row r="14" spans="1:34" ht="30" hidden="1" customHeight="1" thickBot="1">
      <c r="A14" s="368"/>
      <c r="B14" s="226"/>
      <c r="C14" s="227"/>
      <c r="D14" s="227"/>
      <c r="E14" s="228"/>
      <c r="F14" s="227"/>
      <c r="G14" s="133"/>
      <c r="H14" s="133"/>
      <c r="I14" s="227"/>
      <c r="J14" s="227"/>
      <c r="K14" s="229"/>
      <c r="L14" s="373"/>
      <c r="M14" s="229"/>
      <c r="N14" s="133"/>
      <c r="O14" s="133"/>
      <c r="P14" s="228"/>
      <c r="Q14" s="229"/>
      <c r="R14" s="227"/>
      <c r="S14" s="227"/>
      <c r="T14" s="229"/>
      <c r="U14" s="133"/>
      <c r="V14" s="134"/>
      <c r="W14" s="227"/>
      <c r="X14" s="229"/>
      <c r="Y14" s="227"/>
      <c r="Z14" s="380"/>
      <c r="AA14" s="230"/>
      <c r="AB14" s="133"/>
      <c r="AC14" s="134"/>
      <c r="AD14" s="227"/>
      <c r="AE14" s="227"/>
      <c r="AF14" s="227"/>
      <c r="AG14" s="497">
        <f t="shared" si="0"/>
        <v>0</v>
      </c>
      <c r="AH14" s="494"/>
    </row>
    <row r="15" spans="1:34" ht="28.9" thickBot="1">
      <c r="A15" s="146" t="s">
        <v>24</v>
      </c>
      <c r="B15" s="249"/>
      <c r="C15" s="251"/>
      <c r="D15" s="251"/>
      <c r="E15" s="246" t="s">
        <v>18</v>
      </c>
      <c r="F15" s="246" t="s">
        <v>18</v>
      </c>
      <c r="G15" s="102"/>
      <c r="H15" s="102"/>
      <c r="I15" s="251"/>
      <c r="J15" s="251"/>
      <c r="K15" s="251" t="s">
        <v>18</v>
      </c>
      <c r="L15" s="376" t="s">
        <v>18</v>
      </c>
      <c r="M15" s="247"/>
      <c r="N15" s="347"/>
      <c r="O15" s="102"/>
      <c r="P15" s="222"/>
      <c r="Q15" s="246" t="s">
        <v>18</v>
      </c>
      <c r="R15" s="252" t="s">
        <v>18</v>
      </c>
      <c r="S15" s="302"/>
      <c r="T15" s="262"/>
      <c r="U15" s="111"/>
      <c r="V15" s="105"/>
      <c r="W15" s="222" t="s">
        <v>18</v>
      </c>
      <c r="X15" s="253" t="s">
        <v>18</v>
      </c>
      <c r="Y15" s="222"/>
      <c r="Z15" s="378"/>
      <c r="AA15" s="254"/>
      <c r="AB15" s="105"/>
      <c r="AC15" s="107" t="s">
        <v>18</v>
      </c>
      <c r="AD15" s="248" t="s">
        <v>18</v>
      </c>
      <c r="AE15" s="248"/>
      <c r="AF15" s="248"/>
      <c r="AG15" s="215">
        <f t="shared" si="0"/>
        <v>0</v>
      </c>
      <c r="AH15" s="490"/>
    </row>
    <row r="16" spans="1:34" ht="28.9" thickBot="1">
      <c r="A16" s="146" t="s">
        <v>25</v>
      </c>
      <c r="B16" s="255"/>
      <c r="C16" s="248"/>
      <c r="D16" s="246"/>
      <c r="E16" s="246">
        <v>15</v>
      </c>
      <c r="F16" s="246">
        <v>15</v>
      </c>
      <c r="G16" s="108">
        <v>0.5</v>
      </c>
      <c r="H16" s="108"/>
      <c r="I16" s="248"/>
      <c r="J16" s="246"/>
      <c r="K16" s="246">
        <v>15</v>
      </c>
      <c r="L16" s="376">
        <v>15</v>
      </c>
      <c r="M16" s="247">
        <v>0.5</v>
      </c>
      <c r="N16" s="108"/>
      <c r="O16" s="107"/>
      <c r="P16" s="246"/>
      <c r="Q16" s="246">
        <v>15</v>
      </c>
      <c r="R16" s="252">
        <v>15</v>
      </c>
      <c r="S16" s="246">
        <v>0.5</v>
      </c>
      <c r="T16" s="246"/>
      <c r="U16" s="107"/>
      <c r="V16" s="108"/>
      <c r="W16" s="246">
        <v>15</v>
      </c>
      <c r="X16" s="246">
        <v>15</v>
      </c>
      <c r="Y16" s="246">
        <v>0.5</v>
      </c>
      <c r="Z16" s="412">
        <v>5</v>
      </c>
      <c r="AA16" s="252"/>
      <c r="AB16" s="108"/>
      <c r="AC16" s="107">
        <v>15</v>
      </c>
      <c r="AD16" s="248">
        <v>15</v>
      </c>
      <c r="AE16" s="248">
        <v>0.5</v>
      </c>
      <c r="AF16" s="248"/>
      <c r="AG16" s="496">
        <f t="shared" si="0"/>
        <v>157.5</v>
      </c>
      <c r="AH16" s="491">
        <f>SUM(AG16-AG61)</f>
        <v>-8</v>
      </c>
    </row>
    <row r="17" spans="1:34" ht="28.9" thickBot="1">
      <c r="A17" s="368" t="s">
        <v>23</v>
      </c>
      <c r="B17" s="303"/>
      <c r="C17" s="304"/>
      <c r="D17" s="304"/>
      <c r="E17" s="305">
        <v>1</v>
      </c>
      <c r="F17" s="304">
        <v>1</v>
      </c>
      <c r="G17" s="177"/>
      <c r="H17" s="177"/>
      <c r="I17" s="304"/>
      <c r="J17" s="304"/>
      <c r="K17" s="306">
        <v>1</v>
      </c>
      <c r="L17" s="398">
        <v>1</v>
      </c>
      <c r="M17" s="306"/>
      <c r="N17" s="177"/>
      <c r="O17" s="179"/>
      <c r="P17" s="304"/>
      <c r="Q17" s="306">
        <v>1</v>
      </c>
      <c r="R17" s="304">
        <v>1</v>
      </c>
      <c r="S17" s="304"/>
      <c r="T17" s="306"/>
      <c r="U17" s="177"/>
      <c r="V17" s="179"/>
      <c r="W17" s="304">
        <v>1</v>
      </c>
      <c r="X17" s="306">
        <v>1</v>
      </c>
      <c r="Y17" s="304"/>
      <c r="Z17" s="398"/>
      <c r="AA17" s="307"/>
      <c r="AB17" s="177"/>
      <c r="AC17" s="179">
        <v>1</v>
      </c>
      <c r="AD17" s="304">
        <v>1</v>
      </c>
      <c r="AE17" s="304"/>
      <c r="AF17" s="304"/>
      <c r="AG17" s="497">
        <f t="shared" si="0"/>
        <v>10</v>
      </c>
      <c r="AH17" s="494"/>
    </row>
    <row r="18" spans="1:34" ht="28.9" thickBot="1">
      <c r="A18" s="173" t="s">
        <v>26</v>
      </c>
      <c r="B18" s="218"/>
      <c r="C18" s="219" t="s">
        <v>18</v>
      </c>
      <c r="D18" s="219" t="s">
        <v>18</v>
      </c>
      <c r="E18" s="295"/>
      <c r="F18" s="219"/>
      <c r="G18" s="114"/>
      <c r="H18" s="114"/>
      <c r="I18" s="219" t="s">
        <v>18</v>
      </c>
      <c r="J18" s="219" t="s">
        <v>18</v>
      </c>
      <c r="K18" s="222"/>
      <c r="L18" s="379"/>
      <c r="M18" s="256"/>
      <c r="N18" s="105"/>
      <c r="O18" s="105" t="s">
        <v>18</v>
      </c>
      <c r="P18" s="253" t="s">
        <v>18</v>
      </c>
      <c r="Q18" s="222"/>
      <c r="R18" s="222"/>
      <c r="S18" s="219"/>
      <c r="T18" s="296"/>
      <c r="U18" s="114" t="s">
        <v>18</v>
      </c>
      <c r="V18" s="114" t="s">
        <v>18</v>
      </c>
      <c r="W18" s="295"/>
      <c r="X18" s="296"/>
      <c r="Y18" s="219"/>
      <c r="Z18" s="410"/>
      <c r="AA18" s="219" t="s">
        <v>18</v>
      </c>
      <c r="AB18" s="114" t="s">
        <v>18</v>
      </c>
      <c r="AC18" s="118"/>
      <c r="AD18" s="219"/>
      <c r="AE18" s="295"/>
      <c r="AF18" s="295"/>
      <c r="AG18" s="215">
        <f t="shared" si="0"/>
        <v>0</v>
      </c>
      <c r="AH18" s="490"/>
    </row>
    <row r="19" spans="1:34" ht="28.9" thickBot="1">
      <c r="A19" s="146" t="s">
        <v>27</v>
      </c>
      <c r="B19" s="223"/>
      <c r="C19" s="224">
        <v>15</v>
      </c>
      <c r="D19" s="224">
        <v>15</v>
      </c>
      <c r="E19" s="294">
        <v>0.5</v>
      </c>
      <c r="F19" s="224"/>
      <c r="G19" s="103"/>
      <c r="H19" s="103"/>
      <c r="I19" s="224">
        <v>15</v>
      </c>
      <c r="J19" s="224">
        <v>15</v>
      </c>
      <c r="K19" s="224">
        <v>0.5</v>
      </c>
      <c r="L19" s="372">
        <v>5</v>
      </c>
      <c r="M19" s="224"/>
      <c r="N19" s="103"/>
      <c r="O19" s="103">
        <v>15</v>
      </c>
      <c r="P19" s="224">
        <v>15</v>
      </c>
      <c r="Q19" s="224">
        <v>0.5</v>
      </c>
      <c r="R19" s="224"/>
      <c r="S19" s="224"/>
      <c r="T19" s="224"/>
      <c r="U19" s="103">
        <v>15</v>
      </c>
      <c r="V19" s="103">
        <v>15</v>
      </c>
      <c r="W19" s="224">
        <v>0.5</v>
      </c>
      <c r="X19" s="224"/>
      <c r="Y19" s="224"/>
      <c r="Z19" s="372">
        <v>5</v>
      </c>
      <c r="AA19" s="224">
        <v>15</v>
      </c>
      <c r="AB19" s="103">
        <v>15</v>
      </c>
      <c r="AC19" s="103">
        <v>0.5</v>
      </c>
      <c r="AD19" s="224"/>
      <c r="AE19" s="224"/>
      <c r="AF19" s="294"/>
      <c r="AG19" s="496">
        <f t="shared" si="0"/>
        <v>162.5</v>
      </c>
      <c r="AH19" s="491">
        <f>SUM(AG19-AG61)</f>
        <v>-3</v>
      </c>
    </row>
    <row r="20" spans="1:34" ht="25.9" customHeight="1" thickBot="1">
      <c r="A20" s="187" t="s">
        <v>28</v>
      </c>
      <c r="B20" s="226"/>
      <c r="C20" s="227">
        <v>1</v>
      </c>
      <c r="D20" s="227">
        <v>1</v>
      </c>
      <c r="E20" s="228"/>
      <c r="F20" s="227"/>
      <c r="G20" s="133"/>
      <c r="H20" s="133"/>
      <c r="I20" s="227">
        <v>1</v>
      </c>
      <c r="J20" s="227">
        <v>1</v>
      </c>
      <c r="K20" s="229"/>
      <c r="L20" s="373"/>
      <c r="M20" s="229"/>
      <c r="N20" s="133"/>
      <c r="O20" s="134">
        <v>1</v>
      </c>
      <c r="P20" s="227">
        <v>1</v>
      </c>
      <c r="Q20" s="229"/>
      <c r="R20" s="227"/>
      <c r="S20" s="227"/>
      <c r="T20" s="229"/>
      <c r="U20" s="133">
        <v>1</v>
      </c>
      <c r="V20" s="133">
        <v>1</v>
      </c>
      <c r="W20" s="228"/>
      <c r="X20" s="229"/>
      <c r="Y20" s="227"/>
      <c r="Z20" s="380"/>
      <c r="AA20" s="227">
        <v>1</v>
      </c>
      <c r="AB20" s="133">
        <v>1</v>
      </c>
      <c r="AC20" s="134"/>
      <c r="AD20" s="227"/>
      <c r="AE20" s="228"/>
      <c r="AF20" s="228"/>
      <c r="AG20" s="497">
        <f t="shared" si="0"/>
        <v>10</v>
      </c>
      <c r="AH20" s="494"/>
    </row>
    <row r="21" spans="1:34" ht="28.9" thickBot="1">
      <c r="A21" s="146" t="s">
        <v>29</v>
      </c>
      <c r="B21" s="249" t="s">
        <v>18</v>
      </c>
      <c r="C21" s="251" t="s">
        <v>18</v>
      </c>
      <c r="D21" s="251"/>
      <c r="E21" s="222"/>
      <c r="F21" s="253"/>
      <c r="G21" s="102"/>
      <c r="H21" s="102" t="s">
        <v>18</v>
      </c>
      <c r="I21" s="251" t="s">
        <v>18</v>
      </c>
      <c r="J21" s="251"/>
      <c r="K21" s="251"/>
      <c r="L21" s="401"/>
      <c r="M21" s="256"/>
      <c r="N21" s="102" t="s">
        <v>18</v>
      </c>
      <c r="O21" s="102" t="s">
        <v>18</v>
      </c>
      <c r="P21" s="222"/>
      <c r="Q21" s="222"/>
      <c r="R21" s="253"/>
      <c r="S21" s="222"/>
      <c r="T21" s="222" t="s">
        <v>18</v>
      </c>
      <c r="U21" s="105" t="s">
        <v>18</v>
      </c>
      <c r="V21" s="105"/>
      <c r="W21" s="222"/>
      <c r="X21" s="253"/>
      <c r="Y21" s="222"/>
      <c r="Z21" s="417" t="s">
        <v>18</v>
      </c>
      <c r="AA21" s="256" t="s">
        <v>18</v>
      </c>
      <c r="AB21" s="105"/>
      <c r="AC21" s="105"/>
      <c r="AD21" s="222"/>
      <c r="AE21" s="253"/>
      <c r="AF21" s="253" t="s">
        <v>18</v>
      </c>
      <c r="AG21" s="215">
        <f t="shared" si="0"/>
        <v>0</v>
      </c>
      <c r="AH21" s="490"/>
    </row>
    <row r="22" spans="1:34" ht="28.9" thickBot="1">
      <c r="A22" s="146" t="s">
        <v>30</v>
      </c>
      <c r="B22" s="255">
        <v>15</v>
      </c>
      <c r="C22" s="246">
        <v>15</v>
      </c>
      <c r="D22" s="246">
        <v>0.5</v>
      </c>
      <c r="E22" s="246"/>
      <c r="F22" s="248"/>
      <c r="G22" s="108"/>
      <c r="H22" s="108">
        <v>15</v>
      </c>
      <c r="I22" s="248">
        <v>15</v>
      </c>
      <c r="J22" s="246">
        <v>0.5</v>
      </c>
      <c r="K22" s="246"/>
      <c r="L22" s="375">
        <v>4</v>
      </c>
      <c r="M22" s="247"/>
      <c r="N22" s="108">
        <v>15</v>
      </c>
      <c r="O22" s="107">
        <v>15</v>
      </c>
      <c r="P22" s="246">
        <v>0.5</v>
      </c>
      <c r="Q22" s="246"/>
      <c r="R22" s="248"/>
      <c r="S22" s="246"/>
      <c r="T22" s="246">
        <v>15</v>
      </c>
      <c r="U22" s="108">
        <v>15</v>
      </c>
      <c r="V22" s="108">
        <v>0.5</v>
      </c>
      <c r="W22" s="246"/>
      <c r="X22" s="248"/>
      <c r="Y22" s="246"/>
      <c r="Z22" s="411">
        <v>15</v>
      </c>
      <c r="AA22" s="247">
        <v>15</v>
      </c>
      <c r="AB22" s="108">
        <v>0.5</v>
      </c>
      <c r="AC22" s="108"/>
      <c r="AD22" s="246"/>
      <c r="AE22" s="248"/>
      <c r="AF22" s="248">
        <v>15</v>
      </c>
      <c r="AG22" s="496">
        <f t="shared" si="0"/>
        <v>171.5</v>
      </c>
      <c r="AH22" s="491">
        <f>SUM(AG22-AG61)</f>
        <v>6</v>
      </c>
    </row>
    <row r="23" spans="1:34" ht="25.9" customHeight="1" thickBot="1">
      <c r="A23" s="368" t="s">
        <v>28</v>
      </c>
      <c r="B23" s="226">
        <v>1</v>
      </c>
      <c r="C23" s="227">
        <v>1</v>
      </c>
      <c r="D23" s="227"/>
      <c r="E23" s="227"/>
      <c r="F23" s="227"/>
      <c r="G23" s="133"/>
      <c r="H23" s="133">
        <v>1</v>
      </c>
      <c r="I23" s="227">
        <v>1</v>
      </c>
      <c r="J23" s="227"/>
      <c r="K23" s="227"/>
      <c r="L23" s="373"/>
      <c r="M23" s="230"/>
      <c r="N23" s="133">
        <v>1</v>
      </c>
      <c r="O23" s="133">
        <v>1</v>
      </c>
      <c r="P23" s="227"/>
      <c r="Q23" s="229"/>
      <c r="R23" s="227"/>
      <c r="S23" s="227"/>
      <c r="T23" s="227">
        <v>1</v>
      </c>
      <c r="U23" s="133">
        <v>1</v>
      </c>
      <c r="V23" s="133"/>
      <c r="W23" s="227"/>
      <c r="X23" s="229"/>
      <c r="Y23" s="227"/>
      <c r="Z23" s="373">
        <v>1</v>
      </c>
      <c r="AA23" s="230">
        <v>1</v>
      </c>
      <c r="AB23" s="133"/>
      <c r="AC23" s="133"/>
      <c r="AD23" s="227"/>
      <c r="AE23" s="227"/>
      <c r="AF23" s="227">
        <v>1</v>
      </c>
      <c r="AG23" s="497">
        <f t="shared" si="0"/>
        <v>11</v>
      </c>
      <c r="AH23" s="494"/>
    </row>
    <row r="24" spans="1:34" ht="29.45" hidden="1" thickBot="1">
      <c r="A24" s="146"/>
      <c r="B24" s="266"/>
      <c r="C24" s="222"/>
      <c r="D24" s="222"/>
      <c r="E24" s="253"/>
      <c r="F24" s="222"/>
      <c r="G24" s="105"/>
      <c r="H24" s="105"/>
      <c r="I24" s="222"/>
      <c r="J24" s="222"/>
      <c r="K24" s="222"/>
      <c r="L24" s="379"/>
      <c r="M24" s="256"/>
      <c r="N24" s="105"/>
      <c r="O24" s="112"/>
      <c r="P24" s="222"/>
      <c r="Q24" s="254"/>
      <c r="R24" s="222"/>
      <c r="S24" s="222"/>
      <c r="T24" s="254"/>
      <c r="U24" s="105"/>
      <c r="V24" s="112"/>
      <c r="W24" s="222"/>
      <c r="X24" s="254"/>
      <c r="Y24" s="222"/>
      <c r="Z24" s="379"/>
      <c r="AA24" s="256"/>
      <c r="AB24" s="348"/>
      <c r="AC24" s="105"/>
      <c r="AD24" s="222"/>
      <c r="AE24" s="222"/>
      <c r="AF24" s="222"/>
      <c r="AG24" s="215">
        <f t="shared" si="0"/>
        <v>0</v>
      </c>
      <c r="AH24" s="490"/>
    </row>
    <row r="25" spans="1:34" ht="28.9" hidden="1" thickBot="1">
      <c r="A25" s="146"/>
      <c r="B25" s="223"/>
      <c r="C25" s="224"/>
      <c r="D25" s="224"/>
      <c r="E25" s="246"/>
      <c r="F25" s="246"/>
      <c r="G25" s="103"/>
      <c r="H25" s="103"/>
      <c r="I25" s="224"/>
      <c r="J25" s="224"/>
      <c r="K25" s="257"/>
      <c r="L25" s="376"/>
      <c r="M25" s="247"/>
      <c r="N25" s="103"/>
      <c r="O25" s="103"/>
      <c r="P25" s="224"/>
      <c r="Q25" s="224"/>
      <c r="R25" s="257"/>
      <c r="S25" s="246"/>
      <c r="T25" s="246"/>
      <c r="U25" s="103"/>
      <c r="V25" s="103"/>
      <c r="W25" s="294"/>
      <c r="X25" s="257"/>
      <c r="Y25" s="224"/>
      <c r="Z25" s="376"/>
      <c r="AA25" s="247"/>
      <c r="AB25" s="103"/>
      <c r="AC25" s="145"/>
      <c r="AD25" s="224"/>
      <c r="AE25" s="294"/>
      <c r="AF25" s="294"/>
      <c r="AG25" s="496">
        <f t="shared" si="0"/>
        <v>0</v>
      </c>
      <c r="AH25" s="491">
        <f>SUM(AG25-AG61)</f>
        <v>-165.5</v>
      </c>
    </row>
    <row r="26" spans="1:34" ht="28.9" hidden="1" thickBot="1">
      <c r="A26" s="368"/>
      <c r="B26" s="303"/>
      <c r="C26" s="304"/>
      <c r="D26" s="304"/>
      <c r="E26" s="305"/>
      <c r="F26" s="304"/>
      <c r="G26" s="177"/>
      <c r="H26" s="177"/>
      <c r="I26" s="304"/>
      <c r="J26" s="304"/>
      <c r="K26" s="304"/>
      <c r="L26" s="398"/>
      <c r="M26" s="307"/>
      <c r="N26" s="177"/>
      <c r="O26" s="177"/>
      <c r="P26" s="304"/>
      <c r="Q26" s="304"/>
      <c r="R26" s="304"/>
      <c r="S26" s="304"/>
      <c r="T26" s="305"/>
      <c r="U26" s="177"/>
      <c r="V26" s="177"/>
      <c r="W26" s="305"/>
      <c r="X26" s="304"/>
      <c r="Y26" s="304"/>
      <c r="Z26" s="398"/>
      <c r="AA26" s="307"/>
      <c r="AB26" s="177"/>
      <c r="AC26" s="177"/>
      <c r="AD26" s="304"/>
      <c r="AE26" s="306"/>
      <c r="AF26" s="304"/>
      <c r="AG26" s="497">
        <f t="shared" si="0"/>
        <v>0</v>
      </c>
      <c r="AH26" s="494"/>
    </row>
    <row r="27" spans="1:34" ht="28.9" thickBot="1">
      <c r="A27" s="465" t="s">
        <v>31</v>
      </c>
      <c r="B27" s="251"/>
      <c r="C27" s="251"/>
      <c r="D27" s="246"/>
      <c r="E27" s="246"/>
      <c r="F27" s="222" t="s">
        <v>18</v>
      </c>
      <c r="G27" s="562" t="s">
        <v>18</v>
      </c>
      <c r="H27" s="102"/>
      <c r="I27" s="251"/>
      <c r="J27" s="246"/>
      <c r="K27" s="246"/>
      <c r="L27" s="379" t="s">
        <v>18</v>
      </c>
      <c r="M27" s="563" t="s">
        <v>18</v>
      </c>
      <c r="N27" s="102"/>
      <c r="O27" s="102"/>
      <c r="P27" s="246"/>
      <c r="Q27" s="252"/>
      <c r="R27" s="222" t="s">
        <v>18</v>
      </c>
      <c r="S27" s="563" t="s">
        <v>18</v>
      </c>
      <c r="T27" s="251"/>
      <c r="U27" s="102"/>
      <c r="V27" s="108"/>
      <c r="W27" s="224"/>
      <c r="X27" s="222" t="s">
        <v>18</v>
      </c>
      <c r="Y27" s="563" t="s">
        <v>18</v>
      </c>
      <c r="Z27" s="399"/>
      <c r="AA27" s="251"/>
      <c r="AB27" s="109"/>
      <c r="AC27" s="108"/>
      <c r="AD27" s="248" t="s">
        <v>18</v>
      </c>
      <c r="AE27" s="254" t="s">
        <v>18</v>
      </c>
      <c r="AF27" s="222"/>
      <c r="AG27" s="215">
        <f t="shared" si="0"/>
        <v>0</v>
      </c>
      <c r="AH27" s="490"/>
    </row>
    <row r="28" spans="1:34" ht="28.9" thickBot="1">
      <c r="A28" s="146" t="s">
        <v>33</v>
      </c>
      <c r="B28" s="246"/>
      <c r="C28" s="246"/>
      <c r="D28" s="246"/>
      <c r="E28" s="248"/>
      <c r="F28" s="246">
        <v>15</v>
      </c>
      <c r="G28" s="107">
        <v>15</v>
      </c>
      <c r="H28" s="108">
        <v>0.5</v>
      </c>
      <c r="I28" s="246"/>
      <c r="J28" s="246"/>
      <c r="K28" s="246"/>
      <c r="L28" s="376">
        <v>15</v>
      </c>
      <c r="M28" s="248">
        <v>15</v>
      </c>
      <c r="N28" s="108">
        <v>0.5</v>
      </c>
      <c r="O28" s="108"/>
      <c r="P28" s="246"/>
      <c r="Q28" s="246"/>
      <c r="R28" s="246">
        <v>15</v>
      </c>
      <c r="S28" s="248">
        <v>15</v>
      </c>
      <c r="T28" s="246">
        <v>0.5</v>
      </c>
      <c r="U28" s="108"/>
      <c r="V28" s="108"/>
      <c r="W28" s="248"/>
      <c r="X28" s="246">
        <v>15</v>
      </c>
      <c r="Y28" s="248">
        <v>15</v>
      </c>
      <c r="Z28" s="376">
        <v>0.5</v>
      </c>
      <c r="AA28" s="246"/>
      <c r="AB28" s="109"/>
      <c r="AC28" s="103"/>
      <c r="AD28" s="248">
        <v>15</v>
      </c>
      <c r="AE28" s="257">
        <v>15</v>
      </c>
      <c r="AF28" s="224">
        <v>0.5</v>
      </c>
      <c r="AG28" s="496">
        <f t="shared" si="0"/>
        <v>152.5</v>
      </c>
      <c r="AH28" s="491">
        <f>SUM(AG28-AG61)</f>
        <v>-13</v>
      </c>
    </row>
    <row r="29" spans="1:34" ht="28.9" thickBot="1">
      <c r="A29" s="188" t="s">
        <v>34</v>
      </c>
      <c r="B29" s="227"/>
      <c r="C29" s="227"/>
      <c r="D29" s="227"/>
      <c r="E29" s="228"/>
      <c r="F29" s="227">
        <v>1</v>
      </c>
      <c r="G29" s="135">
        <v>1</v>
      </c>
      <c r="H29" s="133"/>
      <c r="I29" s="227"/>
      <c r="J29" s="227"/>
      <c r="K29" s="227"/>
      <c r="L29" s="373">
        <v>1</v>
      </c>
      <c r="M29" s="228">
        <v>1</v>
      </c>
      <c r="N29" s="133"/>
      <c r="O29" s="133"/>
      <c r="P29" s="227"/>
      <c r="Q29" s="229"/>
      <c r="R29" s="227">
        <v>1</v>
      </c>
      <c r="S29" s="228">
        <v>1</v>
      </c>
      <c r="T29" s="227"/>
      <c r="U29" s="133"/>
      <c r="V29" s="136"/>
      <c r="W29" s="227"/>
      <c r="X29" s="227">
        <v>1</v>
      </c>
      <c r="Y29" s="228">
        <v>1</v>
      </c>
      <c r="Z29" s="373"/>
      <c r="AA29" s="227"/>
      <c r="AB29" s="136"/>
      <c r="AC29" s="133"/>
      <c r="AD29" s="228">
        <v>1</v>
      </c>
      <c r="AE29" s="304">
        <v>1</v>
      </c>
      <c r="AF29" s="304"/>
      <c r="AG29" s="497">
        <f t="shared" si="0"/>
        <v>10</v>
      </c>
      <c r="AH29" s="494"/>
    </row>
    <row r="30" spans="1:34" ht="28.9" thickBot="1">
      <c r="A30" s="173" t="s">
        <v>74</v>
      </c>
      <c r="B30" s="218"/>
      <c r="C30" s="219"/>
      <c r="D30" s="219" t="s">
        <v>18</v>
      </c>
      <c r="E30" s="295" t="s">
        <v>18</v>
      </c>
      <c r="F30" s="219"/>
      <c r="G30" s="114"/>
      <c r="H30" s="114"/>
      <c r="I30" s="219"/>
      <c r="J30" s="219" t="s">
        <v>18</v>
      </c>
      <c r="K30" s="222" t="s">
        <v>18</v>
      </c>
      <c r="L30" s="379"/>
      <c r="M30" s="256"/>
      <c r="N30" s="105"/>
      <c r="O30" s="105"/>
      <c r="P30" s="253" t="s">
        <v>18</v>
      </c>
      <c r="Q30" s="222" t="s">
        <v>18</v>
      </c>
      <c r="R30" s="222"/>
      <c r="S30" s="219"/>
      <c r="T30" s="296"/>
      <c r="U30" s="114"/>
      <c r="V30" s="114" t="s">
        <v>18</v>
      </c>
      <c r="W30" s="295" t="s">
        <v>18</v>
      </c>
      <c r="X30" s="296"/>
      <c r="Y30" s="219"/>
      <c r="Z30" s="410"/>
      <c r="AA30" s="219"/>
      <c r="AB30" s="114" t="s">
        <v>18</v>
      </c>
      <c r="AC30" s="118" t="s">
        <v>18</v>
      </c>
      <c r="AD30" s="219"/>
      <c r="AE30" s="295"/>
      <c r="AF30" s="295"/>
      <c r="AG30" s="215">
        <f t="shared" si="0"/>
        <v>0</v>
      </c>
      <c r="AH30" s="490"/>
    </row>
    <row r="31" spans="1:34" ht="28.9" thickBot="1">
      <c r="A31" s="146" t="s">
        <v>36</v>
      </c>
      <c r="B31" s="223"/>
      <c r="C31" s="224"/>
      <c r="D31" s="224">
        <v>15</v>
      </c>
      <c r="E31" s="294">
        <v>15</v>
      </c>
      <c r="F31" s="224">
        <v>0.5</v>
      </c>
      <c r="G31" s="103"/>
      <c r="H31" s="103"/>
      <c r="I31" s="224"/>
      <c r="J31" s="224">
        <v>15</v>
      </c>
      <c r="K31" s="224">
        <v>15</v>
      </c>
      <c r="L31" s="372">
        <v>4.5</v>
      </c>
      <c r="M31" s="224"/>
      <c r="N31" s="103"/>
      <c r="O31" s="103"/>
      <c r="P31" s="224">
        <v>15</v>
      </c>
      <c r="Q31" s="224">
        <v>15</v>
      </c>
      <c r="R31" s="224">
        <v>0.5</v>
      </c>
      <c r="S31" s="224"/>
      <c r="T31" s="224"/>
      <c r="U31" s="103"/>
      <c r="V31" s="103">
        <v>15</v>
      </c>
      <c r="W31" s="224">
        <v>15</v>
      </c>
      <c r="X31" s="224">
        <v>0.5</v>
      </c>
      <c r="Y31" s="224"/>
      <c r="Z31" s="372">
        <v>4</v>
      </c>
      <c r="AA31" s="224"/>
      <c r="AB31" s="103">
        <v>15</v>
      </c>
      <c r="AC31" s="103">
        <v>15</v>
      </c>
      <c r="AD31" s="224">
        <v>0.5</v>
      </c>
      <c r="AE31" s="224"/>
      <c r="AF31" s="294"/>
      <c r="AG31" s="496">
        <f t="shared" si="0"/>
        <v>160.5</v>
      </c>
      <c r="AH31" s="491">
        <f>SUM(AG31-AG61)</f>
        <v>-5</v>
      </c>
    </row>
    <row r="32" spans="1:34" ht="25.9" customHeight="1" thickBot="1">
      <c r="A32" s="187" t="s">
        <v>34</v>
      </c>
      <c r="B32" s="226"/>
      <c r="C32" s="227"/>
      <c r="D32" s="227">
        <v>1</v>
      </c>
      <c r="E32" s="228">
        <v>1</v>
      </c>
      <c r="F32" s="227"/>
      <c r="G32" s="133"/>
      <c r="H32" s="133"/>
      <c r="I32" s="227"/>
      <c r="J32" s="227">
        <v>1</v>
      </c>
      <c r="K32" s="229">
        <v>1</v>
      </c>
      <c r="L32" s="373"/>
      <c r="M32" s="229"/>
      <c r="N32" s="133"/>
      <c r="O32" s="134"/>
      <c r="P32" s="227">
        <v>1</v>
      </c>
      <c r="Q32" s="229">
        <v>1</v>
      </c>
      <c r="R32" s="227"/>
      <c r="S32" s="227"/>
      <c r="T32" s="229"/>
      <c r="U32" s="133"/>
      <c r="V32" s="133">
        <v>1</v>
      </c>
      <c r="W32" s="228">
        <v>1</v>
      </c>
      <c r="X32" s="229"/>
      <c r="Y32" s="227"/>
      <c r="Z32" s="380"/>
      <c r="AA32" s="227"/>
      <c r="AB32" s="133">
        <v>1</v>
      </c>
      <c r="AC32" s="134">
        <v>1</v>
      </c>
      <c r="AD32" s="227"/>
      <c r="AE32" s="228"/>
      <c r="AF32" s="228"/>
      <c r="AG32" s="320">
        <f t="shared" si="0"/>
        <v>10</v>
      </c>
      <c r="AH32" s="492"/>
    </row>
    <row r="33" spans="1:35" ht="28.9" thickBot="1">
      <c r="A33" s="173" t="s">
        <v>37</v>
      </c>
      <c r="B33" s="249"/>
      <c r="C33" s="251"/>
      <c r="D33" s="251"/>
      <c r="E33" s="222"/>
      <c r="F33" s="253"/>
      <c r="G33" s="102"/>
      <c r="H33" s="102"/>
      <c r="I33" s="251"/>
      <c r="J33" s="251"/>
      <c r="K33" s="251"/>
      <c r="L33" s="253"/>
      <c r="M33" s="256"/>
      <c r="N33" s="102"/>
      <c r="O33" s="102"/>
      <c r="P33" s="222"/>
      <c r="Q33" s="222"/>
      <c r="R33" s="253"/>
      <c r="S33" s="222"/>
      <c r="T33" s="222"/>
      <c r="U33" s="105"/>
      <c r="V33" s="105"/>
      <c r="W33" s="222"/>
      <c r="X33" s="253"/>
      <c r="Y33" s="222"/>
      <c r="Z33" s="256"/>
      <c r="AA33" s="256"/>
      <c r="AB33" s="105"/>
      <c r="AC33" s="105"/>
      <c r="AD33" s="222"/>
      <c r="AE33" s="253"/>
      <c r="AF33" s="253"/>
      <c r="AG33" s="215">
        <v>0</v>
      </c>
      <c r="AH33" s="488"/>
    </row>
    <row r="34" spans="1:35" ht="28.9" thickBot="1">
      <c r="A34" s="146" t="s">
        <v>38</v>
      </c>
      <c r="B34" s="255"/>
      <c r="C34" s="246"/>
      <c r="D34" s="246" t="s">
        <v>86</v>
      </c>
      <c r="E34" s="246"/>
      <c r="F34" s="248"/>
      <c r="G34" s="108"/>
      <c r="H34" s="108"/>
      <c r="I34" s="248"/>
      <c r="J34" s="246"/>
      <c r="K34" s="246"/>
      <c r="L34" s="248"/>
      <c r="M34" s="247"/>
      <c r="N34" s="108"/>
      <c r="O34" s="107"/>
      <c r="P34" s="246"/>
      <c r="Q34" s="246"/>
      <c r="R34" s="248"/>
      <c r="S34" s="246"/>
      <c r="T34" s="246"/>
      <c r="U34" s="108"/>
      <c r="V34" s="108"/>
      <c r="W34" s="246"/>
      <c r="X34" s="248"/>
      <c r="Y34" s="246"/>
      <c r="Z34" s="247"/>
      <c r="AA34" s="247"/>
      <c r="AB34" s="108"/>
      <c r="AC34" s="108"/>
      <c r="AD34" s="246"/>
      <c r="AE34" s="248"/>
      <c r="AF34" s="248"/>
      <c r="AG34" s="496">
        <f>SUM(B34:AF34)</f>
        <v>0</v>
      </c>
      <c r="AH34" s="495"/>
    </row>
    <row r="35" spans="1:35" ht="28.9" thickBot="1">
      <c r="A35" s="187" t="s">
        <v>39</v>
      </c>
      <c r="B35" s="226"/>
      <c r="C35" s="227"/>
      <c r="D35" s="227"/>
      <c r="E35" s="227"/>
      <c r="F35" s="227"/>
      <c r="G35" s="133"/>
      <c r="H35" s="133"/>
      <c r="I35" s="227"/>
      <c r="J35" s="227"/>
      <c r="K35" s="227"/>
      <c r="L35" s="227"/>
      <c r="M35" s="230"/>
      <c r="N35" s="133"/>
      <c r="O35" s="133"/>
      <c r="P35" s="227"/>
      <c r="Q35" s="229"/>
      <c r="R35" s="227"/>
      <c r="S35" s="227"/>
      <c r="T35" s="227"/>
      <c r="U35" s="133"/>
      <c r="V35" s="133"/>
      <c r="W35" s="227"/>
      <c r="X35" s="229"/>
      <c r="Y35" s="227"/>
      <c r="Z35" s="227"/>
      <c r="AA35" s="230"/>
      <c r="AB35" s="133"/>
      <c r="AC35" s="133"/>
      <c r="AD35" s="227"/>
      <c r="AE35" s="227"/>
      <c r="AF35" s="227"/>
      <c r="AG35" s="497">
        <f>SUM(B35:AF35)</f>
        <v>0</v>
      </c>
      <c r="AH35" s="489"/>
    </row>
    <row r="36" spans="1:35" ht="28.9" thickBot="1">
      <c r="A36" s="465"/>
      <c r="B36" s="249"/>
      <c r="C36" s="251"/>
      <c r="D36" s="251"/>
      <c r="E36" s="222"/>
      <c r="F36" s="253"/>
      <c r="G36" s="102"/>
      <c r="H36" s="102"/>
      <c r="I36" s="251"/>
      <c r="J36" s="251"/>
      <c r="K36" s="251"/>
      <c r="L36" s="253"/>
      <c r="M36" s="256"/>
      <c r="N36" s="102"/>
      <c r="O36" s="102"/>
      <c r="P36" s="222"/>
      <c r="Q36" s="222"/>
      <c r="R36" s="253"/>
      <c r="S36" s="222"/>
      <c r="T36" s="222"/>
      <c r="U36" s="105"/>
      <c r="V36" s="105"/>
      <c r="W36" s="222"/>
      <c r="X36" s="253"/>
      <c r="Y36" s="222"/>
      <c r="Z36" s="256"/>
      <c r="AA36" s="256"/>
      <c r="AB36" s="105"/>
      <c r="AC36" s="105"/>
      <c r="AD36" s="222"/>
      <c r="AE36" s="253"/>
      <c r="AF36" s="253"/>
      <c r="AG36" s="215">
        <v>0</v>
      </c>
      <c r="AH36" s="488"/>
    </row>
    <row r="37" spans="1:35" ht="28.9" thickBot="1">
      <c r="A37" s="146"/>
      <c r="B37" s="255"/>
      <c r="C37" s="246"/>
      <c r="D37" s="246"/>
      <c r="E37" s="246"/>
      <c r="F37" s="248"/>
      <c r="G37" s="108"/>
      <c r="H37" s="108"/>
      <c r="I37" s="248"/>
      <c r="J37" s="246"/>
      <c r="K37" s="246"/>
      <c r="L37" s="248"/>
      <c r="M37" s="247"/>
      <c r="N37" s="108"/>
      <c r="O37" s="107"/>
      <c r="P37" s="246"/>
      <c r="Q37" s="246"/>
      <c r="R37" s="248"/>
      <c r="S37" s="246"/>
      <c r="T37" s="246"/>
      <c r="U37" s="108"/>
      <c r="V37" s="108"/>
      <c r="W37" s="246"/>
      <c r="X37" s="248"/>
      <c r="Y37" s="246"/>
      <c r="Z37" s="247"/>
      <c r="AA37" s="247"/>
      <c r="AB37" s="108"/>
      <c r="AC37" s="108"/>
      <c r="AD37" s="246"/>
      <c r="AE37" s="248"/>
      <c r="AF37" s="248"/>
      <c r="AG37" s="496">
        <f>SUM(B37:AF37)</f>
        <v>0</v>
      </c>
      <c r="AH37" s="495"/>
    </row>
    <row r="38" spans="1:35" ht="28.9" thickBot="1">
      <c r="A38" s="188"/>
      <c r="B38" s="226"/>
      <c r="C38" s="227"/>
      <c r="D38" s="227"/>
      <c r="E38" s="227"/>
      <c r="F38" s="227"/>
      <c r="G38" s="133"/>
      <c r="H38" s="133"/>
      <c r="I38" s="227"/>
      <c r="J38" s="227"/>
      <c r="K38" s="227"/>
      <c r="L38" s="227"/>
      <c r="M38" s="230"/>
      <c r="N38" s="133"/>
      <c r="O38" s="133"/>
      <c r="P38" s="227"/>
      <c r="Q38" s="229"/>
      <c r="R38" s="227"/>
      <c r="S38" s="227"/>
      <c r="T38" s="227"/>
      <c r="U38" s="133"/>
      <c r="V38" s="133"/>
      <c r="W38" s="227"/>
      <c r="X38" s="229"/>
      <c r="Y38" s="227"/>
      <c r="Z38" s="227"/>
      <c r="AA38" s="230"/>
      <c r="AB38" s="133"/>
      <c r="AC38" s="133"/>
      <c r="AD38" s="227"/>
      <c r="AE38" s="227"/>
      <c r="AF38" s="227"/>
      <c r="AG38" s="497">
        <f>SUM(B38:AF38)</f>
        <v>0</v>
      </c>
      <c r="AH38" s="489"/>
    </row>
    <row r="39" spans="1:35" ht="29.45" thickBot="1">
      <c r="A39" s="173"/>
      <c r="B39" s="249"/>
      <c r="C39" s="251"/>
      <c r="D39" s="251"/>
      <c r="E39" s="222"/>
      <c r="F39" s="253"/>
      <c r="G39" s="102"/>
      <c r="H39" s="102"/>
      <c r="I39" s="251"/>
      <c r="J39" s="251"/>
      <c r="K39" s="251"/>
      <c r="L39" s="253"/>
      <c r="M39" s="256"/>
      <c r="N39" s="102"/>
      <c r="O39" s="102"/>
      <c r="P39" s="222"/>
      <c r="Q39" s="222"/>
      <c r="R39" s="253"/>
      <c r="S39" s="222"/>
      <c r="T39" s="222"/>
      <c r="U39" s="105"/>
      <c r="V39" s="105"/>
      <c r="W39" s="222"/>
      <c r="X39" s="253"/>
      <c r="Y39" s="222"/>
      <c r="Z39" s="256"/>
      <c r="AA39" s="256"/>
      <c r="AB39" s="105"/>
      <c r="AC39" s="105"/>
      <c r="AD39" s="222"/>
      <c r="AE39" s="253"/>
      <c r="AF39" s="253"/>
      <c r="AG39" s="215">
        <v>0</v>
      </c>
      <c r="AH39" s="6"/>
    </row>
    <row r="40" spans="1:35" ht="29.45" thickBot="1">
      <c r="A40" s="146"/>
      <c r="B40" s="255"/>
      <c r="C40" s="246"/>
      <c r="D40" s="246"/>
      <c r="E40" s="246"/>
      <c r="F40" s="248"/>
      <c r="G40" s="108"/>
      <c r="H40" s="108"/>
      <c r="I40" s="248"/>
      <c r="J40" s="246"/>
      <c r="K40" s="246"/>
      <c r="L40" s="248"/>
      <c r="M40" s="247"/>
      <c r="N40" s="108"/>
      <c r="O40" s="107"/>
      <c r="P40" s="246"/>
      <c r="Q40" s="246"/>
      <c r="R40" s="248"/>
      <c r="S40" s="246"/>
      <c r="T40" s="246"/>
      <c r="U40" s="108"/>
      <c r="V40" s="108"/>
      <c r="W40" s="246"/>
      <c r="X40" s="248"/>
      <c r="Y40" s="246"/>
      <c r="Z40" s="247"/>
      <c r="AA40" s="247"/>
      <c r="AB40" s="108"/>
      <c r="AC40" s="108"/>
      <c r="AD40" s="246"/>
      <c r="AE40" s="248"/>
      <c r="AF40" s="248"/>
      <c r="AG40" s="496">
        <f>SUM(B40:AF40)</f>
        <v>0</v>
      </c>
      <c r="AH40" s="6"/>
      <c r="AI40" s="152"/>
    </row>
    <row r="41" spans="1:35" ht="29.45" thickBot="1">
      <c r="A41" s="190"/>
      <c r="B41" s="226"/>
      <c r="C41" s="227"/>
      <c r="D41" s="227"/>
      <c r="E41" s="227"/>
      <c r="F41" s="227"/>
      <c r="G41" s="133"/>
      <c r="H41" s="133"/>
      <c r="I41" s="227"/>
      <c r="J41" s="227"/>
      <c r="K41" s="227"/>
      <c r="L41" s="227"/>
      <c r="M41" s="230"/>
      <c r="N41" s="133"/>
      <c r="O41" s="133"/>
      <c r="P41" s="227"/>
      <c r="Q41" s="229"/>
      <c r="R41" s="227"/>
      <c r="S41" s="227"/>
      <c r="T41" s="227"/>
      <c r="U41" s="133"/>
      <c r="V41" s="133"/>
      <c r="W41" s="227"/>
      <c r="X41" s="229"/>
      <c r="Y41" s="227"/>
      <c r="Z41" s="227"/>
      <c r="AA41" s="230"/>
      <c r="AB41" s="133"/>
      <c r="AC41" s="133"/>
      <c r="AD41" s="227"/>
      <c r="AE41" s="227"/>
      <c r="AF41" s="227"/>
      <c r="AG41" s="497">
        <f>SUM(B41:AF41)</f>
        <v>0</v>
      </c>
      <c r="AH41" s="6"/>
      <c r="AI41" s="152"/>
    </row>
    <row r="42" spans="1:35" ht="29.45" thickBot="1">
      <c r="A42" s="173"/>
      <c r="B42" s="249"/>
      <c r="C42" s="251"/>
      <c r="D42" s="251"/>
      <c r="E42" s="222"/>
      <c r="F42" s="253"/>
      <c r="G42" s="102"/>
      <c r="H42" s="102"/>
      <c r="I42" s="251"/>
      <c r="J42" s="251"/>
      <c r="K42" s="251"/>
      <c r="L42" s="253"/>
      <c r="M42" s="256"/>
      <c r="N42" s="102"/>
      <c r="O42" s="102"/>
      <c r="P42" s="222"/>
      <c r="Q42" s="222"/>
      <c r="R42" s="253"/>
      <c r="S42" s="222"/>
      <c r="T42" s="222"/>
      <c r="U42" s="105"/>
      <c r="V42" s="105"/>
      <c r="W42" s="222"/>
      <c r="X42" s="253"/>
      <c r="Y42" s="222"/>
      <c r="Z42" s="256"/>
      <c r="AA42" s="256"/>
      <c r="AB42" s="105"/>
      <c r="AC42" s="105"/>
      <c r="AD42" s="222"/>
      <c r="AE42" s="253"/>
      <c r="AF42" s="253"/>
      <c r="AG42" s="215">
        <v>0</v>
      </c>
      <c r="AH42" s="6"/>
      <c r="AI42" s="152"/>
    </row>
    <row r="43" spans="1:35" ht="29.45" thickBot="1">
      <c r="A43" s="146"/>
      <c r="B43" s="255"/>
      <c r="C43" s="246"/>
      <c r="D43" s="246"/>
      <c r="E43" s="246"/>
      <c r="F43" s="248"/>
      <c r="G43" s="108"/>
      <c r="H43" s="108"/>
      <c r="I43" s="248"/>
      <c r="J43" s="246"/>
      <c r="K43" s="246"/>
      <c r="L43" s="248"/>
      <c r="M43" s="247"/>
      <c r="N43" s="108"/>
      <c r="O43" s="107"/>
      <c r="P43" s="246"/>
      <c r="Q43" s="246"/>
      <c r="R43" s="248"/>
      <c r="S43" s="246"/>
      <c r="T43" s="246"/>
      <c r="U43" s="108"/>
      <c r="V43" s="108"/>
      <c r="W43" s="246"/>
      <c r="X43" s="248"/>
      <c r="Y43" s="246"/>
      <c r="Z43" s="247"/>
      <c r="AA43" s="247"/>
      <c r="AB43" s="108"/>
      <c r="AC43" s="108"/>
      <c r="AD43" s="246"/>
      <c r="AE43" s="248"/>
      <c r="AF43" s="248"/>
      <c r="AG43" s="496">
        <f>SUM(B43:AF43)</f>
        <v>0</v>
      </c>
      <c r="AH43" s="6"/>
    </row>
    <row r="44" spans="1:35" ht="28.9" customHeight="1" thickBot="1">
      <c r="A44" s="190"/>
      <c r="B44" s="226"/>
      <c r="C44" s="227"/>
      <c r="D44" s="227"/>
      <c r="E44" s="227"/>
      <c r="F44" s="227"/>
      <c r="G44" s="133"/>
      <c r="H44" s="133"/>
      <c r="I44" s="227"/>
      <c r="J44" s="227"/>
      <c r="K44" s="227"/>
      <c r="L44" s="227"/>
      <c r="M44" s="230"/>
      <c r="N44" s="133"/>
      <c r="O44" s="133"/>
      <c r="P44" s="227"/>
      <c r="Q44" s="229"/>
      <c r="R44" s="227"/>
      <c r="S44" s="227"/>
      <c r="T44" s="227"/>
      <c r="U44" s="133"/>
      <c r="V44" s="133"/>
      <c r="W44" s="227"/>
      <c r="X44" s="229"/>
      <c r="Y44" s="227"/>
      <c r="Z44" s="227"/>
      <c r="AA44" s="230"/>
      <c r="AB44" s="133"/>
      <c r="AC44" s="133"/>
      <c r="AD44" s="227"/>
      <c r="AE44" s="227"/>
      <c r="AF44" s="227"/>
      <c r="AG44" s="497">
        <f>SUM(B44:AF44)</f>
        <v>0</v>
      </c>
      <c r="AH44" s="6"/>
    </row>
    <row r="45" spans="1:35" ht="29.45" thickBot="1">
      <c r="A45" s="173"/>
      <c r="B45" s="249"/>
      <c r="C45" s="251"/>
      <c r="D45" s="251"/>
      <c r="E45" s="222"/>
      <c r="F45" s="253"/>
      <c r="G45" s="102"/>
      <c r="H45" s="102"/>
      <c r="I45" s="251"/>
      <c r="J45" s="251"/>
      <c r="K45" s="251"/>
      <c r="L45" s="253"/>
      <c r="M45" s="256"/>
      <c r="N45" s="102"/>
      <c r="O45" s="102"/>
      <c r="P45" s="222"/>
      <c r="Q45" s="222"/>
      <c r="R45" s="253"/>
      <c r="S45" s="222"/>
      <c r="T45" s="222"/>
      <c r="U45" s="105"/>
      <c r="V45" s="105"/>
      <c r="W45" s="222"/>
      <c r="X45" s="253"/>
      <c r="Y45" s="222"/>
      <c r="Z45" s="256"/>
      <c r="AA45" s="256"/>
      <c r="AB45" s="105"/>
      <c r="AC45" s="105"/>
      <c r="AD45" s="222"/>
      <c r="AE45" s="253"/>
      <c r="AF45" s="253"/>
      <c r="AG45" s="215">
        <v>0</v>
      </c>
      <c r="AH45" s="6"/>
    </row>
    <row r="46" spans="1:35" ht="29.45" thickBot="1">
      <c r="A46" s="146"/>
      <c r="B46" s="255"/>
      <c r="C46" s="246"/>
      <c r="D46" s="246"/>
      <c r="E46" s="246"/>
      <c r="F46" s="248"/>
      <c r="G46" s="108"/>
      <c r="H46" s="108"/>
      <c r="I46" s="248"/>
      <c r="J46" s="246"/>
      <c r="K46" s="246"/>
      <c r="L46" s="248"/>
      <c r="M46" s="247"/>
      <c r="N46" s="108"/>
      <c r="O46" s="107"/>
      <c r="P46" s="246"/>
      <c r="Q46" s="246"/>
      <c r="R46" s="248"/>
      <c r="S46" s="246"/>
      <c r="T46" s="246"/>
      <c r="U46" s="108"/>
      <c r="V46" s="108"/>
      <c r="W46" s="246"/>
      <c r="X46" s="248"/>
      <c r="Y46" s="246"/>
      <c r="Z46" s="247"/>
      <c r="AA46" s="247"/>
      <c r="AB46" s="108"/>
      <c r="AC46" s="108"/>
      <c r="AD46" s="246"/>
      <c r="AE46" s="248"/>
      <c r="AF46" s="248"/>
      <c r="AG46" s="496">
        <f>SUM(B46:AF46)</f>
        <v>0</v>
      </c>
      <c r="AH46" s="6"/>
    </row>
    <row r="47" spans="1:35" ht="29.45" thickBot="1">
      <c r="A47" s="190"/>
      <c r="B47" s="226"/>
      <c r="C47" s="227"/>
      <c r="D47" s="227"/>
      <c r="E47" s="227"/>
      <c r="F47" s="227"/>
      <c r="G47" s="133"/>
      <c r="H47" s="133"/>
      <c r="I47" s="227"/>
      <c r="J47" s="227"/>
      <c r="K47" s="227"/>
      <c r="L47" s="227"/>
      <c r="M47" s="230"/>
      <c r="N47" s="133"/>
      <c r="O47" s="133"/>
      <c r="P47" s="227"/>
      <c r="Q47" s="229"/>
      <c r="R47" s="227"/>
      <c r="S47" s="227"/>
      <c r="T47" s="227"/>
      <c r="U47" s="133"/>
      <c r="V47" s="133"/>
      <c r="W47" s="227"/>
      <c r="X47" s="229"/>
      <c r="Y47" s="227"/>
      <c r="Z47" s="227"/>
      <c r="AA47" s="230"/>
      <c r="AB47" s="133"/>
      <c r="AC47" s="133"/>
      <c r="AD47" s="227"/>
      <c r="AE47" s="227"/>
      <c r="AF47" s="227"/>
      <c r="AG47" s="497">
        <f>SUM(B47:AF47)</f>
        <v>0</v>
      </c>
      <c r="AH47" s="6"/>
    </row>
    <row r="48" spans="1:35" ht="29.45" hidden="1" thickBot="1">
      <c r="A48" s="173"/>
      <c r="B48" s="249"/>
      <c r="C48" s="251"/>
      <c r="D48" s="251"/>
      <c r="E48" s="222"/>
      <c r="F48" s="253"/>
      <c r="G48" s="102"/>
      <c r="H48" s="102"/>
      <c r="I48" s="251"/>
      <c r="J48" s="251"/>
      <c r="K48" s="251"/>
      <c r="L48" s="253"/>
      <c r="M48" s="256"/>
      <c r="N48" s="102"/>
      <c r="O48" s="102"/>
      <c r="P48" s="222"/>
      <c r="Q48" s="222"/>
      <c r="R48" s="253"/>
      <c r="S48" s="222"/>
      <c r="T48" s="222"/>
      <c r="U48" s="105"/>
      <c r="V48" s="105"/>
      <c r="W48" s="222"/>
      <c r="X48" s="253"/>
      <c r="Y48" s="222"/>
      <c r="Z48" s="256"/>
      <c r="AA48" s="256"/>
      <c r="AB48" s="105"/>
      <c r="AC48" s="105"/>
      <c r="AD48" s="222"/>
      <c r="AE48" s="253"/>
      <c r="AF48" s="253"/>
      <c r="AG48" s="215">
        <v>0</v>
      </c>
      <c r="AH48" s="6"/>
    </row>
    <row r="49" spans="1:34" ht="29.45" hidden="1" thickBot="1">
      <c r="A49" s="146"/>
      <c r="B49" s="255"/>
      <c r="C49" s="246"/>
      <c r="D49" s="246"/>
      <c r="E49" s="246"/>
      <c r="F49" s="248"/>
      <c r="G49" s="108"/>
      <c r="H49" s="108"/>
      <c r="I49" s="248"/>
      <c r="J49" s="246"/>
      <c r="K49" s="246"/>
      <c r="L49" s="248"/>
      <c r="M49" s="247"/>
      <c r="N49" s="108"/>
      <c r="O49" s="107"/>
      <c r="P49" s="246"/>
      <c r="Q49" s="246"/>
      <c r="R49" s="248"/>
      <c r="S49" s="246"/>
      <c r="T49" s="246"/>
      <c r="U49" s="108"/>
      <c r="V49" s="108"/>
      <c r="W49" s="246"/>
      <c r="X49" s="248"/>
      <c r="Y49" s="246"/>
      <c r="Z49" s="247"/>
      <c r="AA49" s="247"/>
      <c r="AB49" s="108"/>
      <c r="AC49" s="108"/>
      <c r="AD49" s="246"/>
      <c r="AE49" s="248"/>
      <c r="AF49" s="248"/>
      <c r="AG49" s="496">
        <f>SUM(B49:AF49)</f>
        <v>0</v>
      </c>
      <c r="AH49" s="6"/>
    </row>
    <row r="50" spans="1:34" ht="28.9" hidden="1" thickBot="1">
      <c r="A50" s="190"/>
      <c r="B50" s="226"/>
      <c r="C50" s="227"/>
      <c r="D50" s="227"/>
      <c r="E50" s="227"/>
      <c r="F50" s="227"/>
      <c r="G50" s="133"/>
      <c r="H50" s="133"/>
      <c r="I50" s="227"/>
      <c r="J50" s="227"/>
      <c r="K50" s="227"/>
      <c r="L50" s="227"/>
      <c r="M50" s="230"/>
      <c r="N50" s="133"/>
      <c r="O50" s="133"/>
      <c r="P50" s="227"/>
      <c r="Q50" s="229"/>
      <c r="R50" s="227"/>
      <c r="S50" s="227"/>
      <c r="T50" s="227"/>
      <c r="U50" s="133"/>
      <c r="V50" s="133"/>
      <c r="W50" s="227"/>
      <c r="X50" s="229"/>
      <c r="Y50" s="227"/>
      <c r="Z50" s="227"/>
      <c r="AA50" s="230"/>
      <c r="AB50" s="133"/>
      <c r="AC50" s="133"/>
      <c r="AD50" s="227"/>
      <c r="AE50" s="227"/>
      <c r="AF50" s="227"/>
      <c r="AG50" s="497">
        <f>SUM(B50:AF50)</f>
        <v>0</v>
      </c>
    </row>
    <row r="51" spans="1:34" ht="28.9" hidden="1" thickBot="1">
      <c r="A51" s="173"/>
      <c r="B51" s="249"/>
      <c r="C51" s="251"/>
      <c r="D51" s="251"/>
      <c r="E51" s="222"/>
      <c r="F51" s="253"/>
      <c r="G51" s="102"/>
      <c r="H51" s="102"/>
      <c r="I51" s="251"/>
      <c r="J51" s="251"/>
      <c r="K51" s="251"/>
      <c r="L51" s="253"/>
      <c r="M51" s="256"/>
      <c r="N51" s="102"/>
      <c r="O51" s="102"/>
      <c r="P51" s="222"/>
      <c r="Q51" s="222"/>
      <c r="R51" s="253"/>
      <c r="S51" s="222"/>
      <c r="T51" s="222"/>
      <c r="U51" s="105"/>
      <c r="V51" s="105"/>
      <c r="W51" s="222"/>
      <c r="X51" s="253"/>
      <c r="Y51" s="222"/>
      <c r="Z51" s="256"/>
      <c r="AA51" s="256"/>
      <c r="AB51" s="105"/>
      <c r="AC51" s="105"/>
      <c r="AD51" s="222"/>
      <c r="AE51" s="253"/>
      <c r="AF51" s="253"/>
      <c r="AG51" s="215">
        <v>0</v>
      </c>
    </row>
    <row r="52" spans="1:34" ht="28.9" hidden="1" thickBot="1">
      <c r="A52" s="146"/>
      <c r="B52" s="255"/>
      <c r="C52" s="246"/>
      <c r="D52" s="246"/>
      <c r="E52" s="246"/>
      <c r="F52" s="248"/>
      <c r="G52" s="108"/>
      <c r="H52" s="108"/>
      <c r="I52" s="248"/>
      <c r="J52" s="246"/>
      <c r="K52" s="246"/>
      <c r="L52" s="248"/>
      <c r="M52" s="247"/>
      <c r="N52" s="108"/>
      <c r="O52" s="107"/>
      <c r="P52" s="246"/>
      <c r="Q52" s="246"/>
      <c r="R52" s="248"/>
      <c r="S52" s="246"/>
      <c r="T52" s="246"/>
      <c r="U52" s="108"/>
      <c r="V52" s="108"/>
      <c r="W52" s="246"/>
      <c r="X52" s="248"/>
      <c r="Y52" s="246"/>
      <c r="Z52" s="247"/>
      <c r="AA52" s="247"/>
      <c r="AB52" s="108"/>
      <c r="AC52" s="108"/>
      <c r="AD52" s="246"/>
      <c r="AE52" s="248"/>
      <c r="AF52" s="248"/>
      <c r="AG52" s="496">
        <f>SUM(B52:AF52)</f>
        <v>0</v>
      </c>
    </row>
    <row r="53" spans="1:34" ht="28.9" hidden="1" thickBot="1">
      <c r="A53" s="190"/>
      <c r="B53" s="226"/>
      <c r="C53" s="227"/>
      <c r="D53" s="227"/>
      <c r="E53" s="227"/>
      <c r="F53" s="227"/>
      <c r="G53" s="133"/>
      <c r="H53" s="133"/>
      <c r="I53" s="227"/>
      <c r="J53" s="227"/>
      <c r="K53" s="227"/>
      <c r="L53" s="227"/>
      <c r="M53" s="230"/>
      <c r="N53" s="133"/>
      <c r="O53" s="133"/>
      <c r="P53" s="227"/>
      <c r="Q53" s="229"/>
      <c r="R53" s="227"/>
      <c r="S53" s="227"/>
      <c r="T53" s="227"/>
      <c r="U53" s="133"/>
      <c r="V53" s="133"/>
      <c r="W53" s="227"/>
      <c r="X53" s="229"/>
      <c r="Y53" s="227"/>
      <c r="Z53" s="227"/>
      <c r="AA53" s="230"/>
      <c r="AB53" s="133"/>
      <c r="AC53" s="133"/>
      <c r="AD53" s="227"/>
      <c r="AE53" s="227"/>
      <c r="AF53" s="227"/>
      <c r="AG53" s="497">
        <f>SUM(B53:AF53)</f>
        <v>0</v>
      </c>
    </row>
    <row r="54" spans="1:34" ht="28.9" hidden="1" thickBot="1">
      <c r="A54" s="173"/>
      <c r="B54" s="249"/>
      <c r="C54" s="251"/>
      <c r="D54" s="251"/>
      <c r="E54" s="222"/>
      <c r="F54" s="253"/>
      <c r="G54" s="102"/>
      <c r="H54" s="102"/>
      <c r="I54" s="251"/>
      <c r="J54" s="251"/>
      <c r="K54" s="251"/>
      <c r="L54" s="253"/>
      <c r="M54" s="256"/>
      <c r="N54" s="102"/>
      <c r="O54" s="102"/>
      <c r="P54" s="222"/>
      <c r="Q54" s="222"/>
      <c r="R54" s="253"/>
      <c r="S54" s="222"/>
      <c r="T54" s="222"/>
      <c r="U54" s="105"/>
      <c r="V54" s="105"/>
      <c r="W54" s="222"/>
      <c r="X54" s="253"/>
      <c r="Y54" s="222"/>
      <c r="Z54" s="256"/>
      <c r="AA54" s="256"/>
      <c r="AB54" s="105"/>
      <c r="AC54" s="105"/>
      <c r="AD54" s="222"/>
      <c r="AE54" s="253"/>
      <c r="AF54" s="253"/>
      <c r="AG54" s="215">
        <v>0</v>
      </c>
    </row>
    <row r="55" spans="1:34" ht="28.9" hidden="1" thickBot="1">
      <c r="A55" s="146"/>
      <c r="B55" s="255"/>
      <c r="C55" s="246"/>
      <c r="D55" s="246"/>
      <c r="E55" s="246"/>
      <c r="F55" s="248"/>
      <c r="G55" s="108"/>
      <c r="H55" s="108"/>
      <c r="I55" s="248"/>
      <c r="J55" s="246"/>
      <c r="K55" s="246"/>
      <c r="L55" s="248"/>
      <c r="M55" s="247"/>
      <c r="N55" s="108"/>
      <c r="O55" s="107"/>
      <c r="P55" s="246"/>
      <c r="Q55" s="246"/>
      <c r="R55" s="248"/>
      <c r="S55" s="246"/>
      <c r="T55" s="246"/>
      <c r="U55" s="108"/>
      <c r="V55" s="108"/>
      <c r="W55" s="246"/>
      <c r="X55" s="248"/>
      <c r="Y55" s="246"/>
      <c r="Z55" s="247"/>
      <c r="AA55" s="247"/>
      <c r="AB55" s="108"/>
      <c r="AC55" s="108"/>
      <c r="AD55" s="246"/>
      <c r="AE55" s="248"/>
      <c r="AF55" s="248"/>
      <c r="AG55" s="496">
        <f>SUM(B55:AF55)</f>
        <v>0</v>
      </c>
    </row>
    <row r="56" spans="1:34" ht="28.9" hidden="1" thickBot="1">
      <c r="A56" s="190"/>
      <c r="B56" s="226"/>
      <c r="C56" s="227"/>
      <c r="D56" s="227"/>
      <c r="E56" s="227"/>
      <c r="F56" s="227"/>
      <c r="G56" s="133"/>
      <c r="H56" s="133"/>
      <c r="I56" s="227"/>
      <c r="J56" s="227"/>
      <c r="K56" s="227"/>
      <c r="L56" s="227"/>
      <c r="M56" s="230"/>
      <c r="N56" s="133"/>
      <c r="O56" s="133"/>
      <c r="P56" s="227"/>
      <c r="Q56" s="229"/>
      <c r="R56" s="227"/>
      <c r="S56" s="227"/>
      <c r="T56" s="227"/>
      <c r="U56" s="133"/>
      <c r="V56" s="133"/>
      <c r="W56" s="227"/>
      <c r="X56" s="229"/>
      <c r="Y56" s="227"/>
      <c r="Z56" s="227"/>
      <c r="AA56" s="230"/>
      <c r="AB56" s="133"/>
      <c r="AC56" s="133"/>
      <c r="AD56" s="227"/>
      <c r="AE56" s="227"/>
      <c r="AF56" s="227"/>
      <c r="AG56" s="497">
        <f>SUM(B56:AF56)</f>
        <v>0</v>
      </c>
    </row>
    <row r="57" spans="1:34" ht="29.45" hidden="1" thickBot="1">
      <c r="A57" s="173"/>
      <c r="B57" s="266"/>
      <c r="C57" s="222"/>
      <c r="D57" s="222"/>
      <c r="E57" s="253"/>
      <c r="F57" s="222"/>
      <c r="G57" s="105"/>
      <c r="H57" s="105"/>
      <c r="I57" s="222"/>
      <c r="J57" s="222"/>
      <c r="K57" s="222"/>
      <c r="L57" s="222"/>
      <c r="M57" s="256"/>
      <c r="N57" s="105"/>
      <c r="O57" s="112"/>
      <c r="P57" s="222"/>
      <c r="Q57" s="254"/>
      <c r="R57" s="222"/>
      <c r="S57" s="222"/>
      <c r="T57" s="254"/>
      <c r="U57" s="105"/>
      <c r="V57" s="112"/>
      <c r="W57" s="222"/>
      <c r="X57" s="254"/>
      <c r="Y57" s="222"/>
      <c r="Z57" s="222"/>
      <c r="AA57" s="256"/>
      <c r="AB57" s="348"/>
      <c r="AC57" s="105"/>
      <c r="AD57" s="222"/>
      <c r="AE57" s="222"/>
      <c r="AF57" s="222"/>
      <c r="AG57" s="215">
        <f>SUM(B57:AF57)</f>
        <v>0</v>
      </c>
    </row>
    <row r="58" spans="1:34" ht="28.9" hidden="1" thickBot="1">
      <c r="A58" s="189"/>
      <c r="B58" s="259"/>
      <c r="C58" s="232"/>
      <c r="D58" s="232"/>
      <c r="E58" s="260"/>
      <c r="F58" s="232"/>
      <c r="G58" s="137"/>
      <c r="H58" s="137"/>
      <c r="I58" s="232"/>
      <c r="J58" s="232"/>
      <c r="K58" s="232"/>
      <c r="L58" s="232"/>
      <c r="M58" s="231"/>
      <c r="N58" s="137"/>
      <c r="O58" s="137"/>
      <c r="P58" s="232"/>
      <c r="Q58" s="232"/>
      <c r="R58" s="232"/>
      <c r="S58" s="232"/>
      <c r="T58" s="260"/>
      <c r="U58" s="137"/>
      <c r="V58" s="137"/>
      <c r="W58" s="260"/>
      <c r="X58" s="232"/>
      <c r="Y58" s="232"/>
      <c r="Z58" s="232"/>
      <c r="AA58" s="231"/>
      <c r="AB58" s="137"/>
      <c r="AC58" s="137"/>
      <c r="AD58" s="232"/>
      <c r="AE58" s="233"/>
      <c r="AF58" s="321"/>
      <c r="AG58" s="552">
        <f>SUM(B58:AF58)</f>
        <v>0</v>
      </c>
    </row>
    <row r="59" spans="1:34" ht="28.9" hidden="1" thickBot="1">
      <c r="A59" s="150"/>
      <c r="B59" s="255"/>
      <c r="C59" s="246"/>
      <c r="D59" s="246"/>
      <c r="E59" s="248"/>
      <c r="F59" s="246"/>
      <c r="G59" s="108"/>
      <c r="H59" s="108"/>
      <c r="I59" s="246"/>
      <c r="J59" s="246"/>
      <c r="K59" s="246"/>
      <c r="L59" s="248"/>
      <c r="M59" s="252"/>
      <c r="N59" s="108"/>
      <c r="O59" s="113"/>
      <c r="P59" s="246"/>
      <c r="Q59" s="252"/>
      <c r="R59" s="246"/>
      <c r="S59" s="246"/>
      <c r="T59" s="252"/>
      <c r="U59" s="108"/>
      <c r="V59" s="109"/>
      <c r="W59" s="246"/>
      <c r="X59" s="252"/>
      <c r="Y59" s="246"/>
      <c r="Z59" s="246"/>
      <c r="AA59" s="247"/>
      <c r="AB59" s="108"/>
      <c r="AC59" s="108"/>
      <c r="AD59" s="246"/>
      <c r="AE59" s="265"/>
      <c r="AF59" s="252"/>
      <c r="AG59" s="553">
        <f>SUM(B59:AF59)</f>
        <v>0</v>
      </c>
    </row>
    <row r="60" spans="1:34" ht="32.450000000000003" thickBot="1">
      <c r="A60" s="678" t="s">
        <v>40</v>
      </c>
      <c r="B60" s="311"/>
      <c r="C60" s="312"/>
      <c r="D60" s="312"/>
      <c r="E60" s="313"/>
      <c r="F60" s="312"/>
      <c r="G60" s="312"/>
      <c r="H60" s="312"/>
      <c r="I60" s="312"/>
      <c r="J60" s="312"/>
      <c r="K60" s="312"/>
      <c r="L60" s="313"/>
      <c r="M60" s="314"/>
      <c r="N60" s="312"/>
      <c r="O60" s="314"/>
      <c r="P60" s="312"/>
      <c r="Q60" s="314"/>
      <c r="R60" s="312"/>
      <c r="S60" s="312"/>
      <c r="T60" s="314"/>
      <c r="U60" s="312"/>
      <c r="V60" s="315"/>
      <c r="W60" s="312"/>
      <c r="X60" s="314"/>
      <c r="Y60" s="312"/>
      <c r="Z60" s="312"/>
      <c r="AA60" s="315"/>
      <c r="AB60" s="312"/>
      <c r="AC60" s="313"/>
      <c r="AD60" s="312"/>
      <c r="AE60" s="312"/>
      <c r="AF60" s="316"/>
      <c r="AG60" s="498" t="s">
        <v>41</v>
      </c>
    </row>
    <row r="61" spans="1:34" ht="32.450000000000003" thickBot="1">
      <c r="A61" s="679"/>
      <c r="B61" s="317"/>
      <c r="C61" s="318"/>
      <c r="D61" s="318"/>
      <c r="E61" s="318"/>
      <c r="F61" s="318"/>
      <c r="G61" s="318"/>
      <c r="H61" s="318"/>
      <c r="I61" s="318"/>
      <c r="J61" s="318"/>
      <c r="K61" s="318"/>
      <c r="L61" s="318"/>
      <c r="M61" s="318"/>
      <c r="N61" s="318"/>
      <c r="O61" s="318"/>
      <c r="P61" s="318"/>
      <c r="Q61" s="318"/>
      <c r="R61" s="318"/>
      <c r="S61" s="318"/>
      <c r="T61" s="318"/>
      <c r="U61" s="318"/>
      <c r="V61" s="318"/>
      <c r="W61" s="318"/>
      <c r="X61" s="318"/>
      <c r="Y61" s="318"/>
      <c r="Z61" s="318"/>
      <c r="AA61" s="318"/>
      <c r="AB61" s="318"/>
      <c r="AC61" s="318"/>
      <c r="AD61" s="318"/>
      <c r="AE61" s="318"/>
      <c r="AF61" s="319"/>
      <c r="AG61" s="499">
        <v>165.5</v>
      </c>
    </row>
    <row r="62" spans="1:34" ht="29.45" thickTop="1">
      <c r="A62" s="125" t="s">
        <v>42</v>
      </c>
      <c r="B62" s="126"/>
      <c r="C62" s="126"/>
      <c r="D62" s="124"/>
      <c r="E62" s="124"/>
      <c r="F62" s="124"/>
      <c r="G62" s="124"/>
      <c r="H62" s="127"/>
      <c r="I62" s="7"/>
      <c r="J62" s="7"/>
      <c r="K62" s="20" t="s">
        <v>43</v>
      </c>
      <c r="L62" s="37"/>
      <c r="M62" s="37"/>
      <c r="N62" s="37"/>
      <c r="O62" s="37"/>
      <c r="P62" s="22"/>
      <c r="Q62" s="22"/>
      <c r="R62" s="128"/>
      <c r="S62" s="128" t="s">
        <v>44</v>
      </c>
      <c r="T62" s="23"/>
      <c r="U62" s="129"/>
      <c r="V62" s="7"/>
      <c r="W62" s="7"/>
      <c r="X62" s="25"/>
      <c r="Y62" s="26"/>
      <c r="Z62" s="26"/>
      <c r="AA62" s="26"/>
      <c r="AB62" s="90" t="s">
        <v>45</v>
      </c>
      <c r="AC62" s="26"/>
      <c r="AD62" s="26"/>
      <c r="AE62" s="26"/>
      <c r="AF62" s="26"/>
      <c r="AG62" s="55"/>
    </row>
    <row r="63" spans="1:34" ht="28.9">
      <c r="A63" s="16" t="s">
        <v>46</v>
      </c>
      <c r="B63" s="17"/>
      <c r="C63" s="17"/>
      <c r="D63" s="18"/>
      <c r="E63" s="18"/>
      <c r="F63" s="18"/>
      <c r="G63" s="18"/>
      <c r="H63" s="19"/>
      <c r="I63" s="7"/>
      <c r="J63" s="7"/>
      <c r="K63" s="20" t="s">
        <v>47</v>
      </c>
      <c r="L63" s="21"/>
      <c r="M63" s="21"/>
      <c r="N63" s="21"/>
      <c r="O63" s="21"/>
      <c r="P63" s="22"/>
      <c r="Q63" s="128"/>
      <c r="R63" s="128" t="s">
        <v>48</v>
      </c>
      <c r="S63" s="23"/>
      <c r="T63" s="23"/>
      <c r="U63" s="24"/>
      <c r="V63" s="7"/>
      <c r="W63" s="7"/>
      <c r="X63" s="25"/>
      <c r="Y63" s="26"/>
      <c r="Z63" s="26"/>
      <c r="AA63" s="26"/>
      <c r="AB63" s="26"/>
      <c r="AC63" s="26"/>
      <c r="AD63" s="26"/>
      <c r="AE63" s="26"/>
      <c r="AF63" s="26"/>
      <c r="AG63" s="55"/>
    </row>
    <row r="64" spans="1:34" ht="28.15">
      <c r="A64" s="27" t="s">
        <v>49</v>
      </c>
      <c r="B64" s="28"/>
      <c r="C64" s="28"/>
      <c r="D64" s="28"/>
      <c r="E64" s="28"/>
      <c r="F64" s="28"/>
      <c r="G64" s="28"/>
      <c r="H64" s="29"/>
      <c r="I64" s="7"/>
      <c r="J64" s="7"/>
      <c r="K64" s="20" t="s">
        <v>50</v>
      </c>
      <c r="L64" s="21"/>
      <c r="M64" s="21"/>
      <c r="N64" s="21"/>
      <c r="O64" s="21"/>
      <c r="P64" s="22"/>
      <c r="Q64" s="22"/>
      <c r="R64" s="22"/>
      <c r="S64" s="22"/>
      <c r="T64" s="22"/>
      <c r="U64" s="30"/>
      <c r="V64" s="7"/>
      <c r="W64" s="7"/>
      <c r="X64" s="31"/>
      <c r="Y64" s="26"/>
      <c r="Z64" s="26"/>
      <c r="AA64" s="26"/>
      <c r="AB64" s="26"/>
      <c r="AC64" s="26"/>
      <c r="AD64" s="26"/>
      <c r="AE64" s="26"/>
      <c r="AF64" s="26"/>
      <c r="AG64" s="15"/>
    </row>
    <row r="65" spans="1:33" ht="28.9">
      <c r="A65" s="32" t="s">
        <v>51</v>
      </c>
      <c r="B65" s="33"/>
      <c r="C65" s="33"/>
      <c r="D65" s="34"/>
      <c r="E65" s="34"/>
      <c r="F65" s="34"/>
      <c r="G65" s="34"/>
      <c r="H65" s="35"/>
      <c r="I65" s="36"/>
      <c r="J65" s="36"/>
      <c r="K65" s="20" t="s">
        <v>70</v>
      </c>
      <c r="L65" s="21"/>
      <c r="M65" s="21"/>
      <c r="N65" s="21"/>
      <c r="O65" s="21"/>
      <c r="P65" s="37"/>
      <c r="Q65" s="37"/>
      <c r="R65" s="37"/>
      <c r="S65" s="38"/>
      <c r="T65" s="37"/>
      <c r="U65" s="39"/>
      <c r="V65" s="40"/>
      <c r="W65" s="6"/>
      <c r="X65" s="701"/>
      <c r="Y65" s="702"/>
      <c r="Z65" s="702"/>
      <c r="AA65" s="702"/>
      <c r="AB65" s="702"/>
      <c r="AC65" s="702"/>
      <c r="AD65" s="702"/>
      <c r="AE65" s="702"/>
      <c r="AF65" s="702"/>
      <c r="AG65" s="703"/>
    </row>
    <row r="66" spans="1:33" ht="28.9">
      <c r="A66" s="42" t="s">
        <v>53</v>
      </c>
      <c r="B66" s="43"/>
      <c r="C66" s="43"/>
      <c r="D66" s="43"/>
      <c r="E66" s="43"/>
      <c r="F66" s="43"/>
      <c r="G66" s="43"/>
      <c r="H66" s="44"/>
      <c r="I66" s="36"/>
      <c r="J66" s="36"/>
      <c r="K66" s="20" t="s">
        <v>71</v>
      </c>
      <c r="L66" s="21"/>
      <c r="M66" s="21"/>
      <c r="N66" s="21"/>
      <c r="O66" s="21"/>
      <c r="P66" s="21"/>
      <c r="Q66" s="21"/>
      <c r="R66" s="21"/>
      <c r="S66" s="38"/>
      <c r="T66" s="37"/>
      <c r="U66" s="39"/>
      <c r="V66" s="40"/>
      <c r="W66" s="6"/>
      <c r="X66" s="41"/>
      <c r="Y66" s="45"/>
      <c r="Z66" s="46"/>
      <c r="AA66" s="45"/>
      <c r="AB66" s="45"/>
      <c r="AC66" s="45"/>
      <c r="AD66" s="45"/>
      <c r="AE66" s="45"/>
      <c r="AF66" s="45"/>
      <c r="AG66" s="15"/>
    </row>
    <row r="67" spans="1:33" ht="28.9">
      <c r="A67" s="47" t="s">
        <v>55</v>
      </c>
      <c r="B67" s="48"/>
      <c r="C67" s="48"/>
      <c r="D67" s="49"/>
      <c r="E67" s="49"/>
      <c r="F67" s="49"/>
      <c r="G67" s="49"/>
      <c r="H67" s="50"/>
      <c r="I67" s="36"/>
      <c r="J67" s="36"/>
      <c r="K67" s="20" t="s">
        <v>56</v>
      </c>
      <c r="L67" s="21"/>
      <c r="M67" s="21"/>
      <c r="N67" s="21"/>
      <c r="O67" s="21"/>
      <c r="P67" s="21"/>
      <c r="Q67" s="21"/>
      <c r="R67" s="21"/>
      <c r="S67" s="38"/>
      <c r="T67" s="37"/>
      <c r="U67" s="51"/>
      <c r="V67" s="40"/>
      <c r="W67" s="6"/>
      <c r="X67" s="41"/>
      <c r="Y67" s="45"/>
      <c r="Z67" s="46"/>
      <c r="AA67" s="45"/>
      <c r="AB67" s="45"/>
      <c r="AC67" s="45"/>
      <c r="AD67" s="45"/>
      <c r="AE67" s="45"/>
      <c r="AF67" s="45"/>
      <c r="AG67" s="15"/>
    </row>
    <row r="68" spans="1:33" ht="28.9">
      <c r="A68" s="52" t="s">
        <v>57</v>
      </c>
      <c r="B68" s="53"/>
      <c r="C68" s="53"/>
      <c r="D68" s="53"/>
      <c r="E68" s="53"/>
      <c r="F68" s="53"/>
      <c r="G68" s="53"/>
      <c r="H68" s="54"/>
      <c r="I68" s="36"/>
      <c r="J68" s="36"/>
      <c r="K68" s="20" t="s">
        <v>58</v>
      </c>
      <c r="L68" s="21"/>
      <c r="M68" s="21"/>
      <c r="N68" s="21"/>
      <c r="O68" s="21"/>
      <c r="P68" s="21"/>
      <c r="Q68" s="21" t="s">
        <v>59</v>
      </c>
      <c r="R68" s="21"/>
      <c r="S68" s="38"/>
      <c r="T68" s="37"/>
      <c r="U68" s="39"/>
      <c r="V68" s="40"/>
      <c r="W68" s="6"/>
      <c r="X68" s="41"/>
      <c r="Y68" s="45"/>
      <c r="Z68" s="46"/>
      <c r="AA68" s="45"/>
      <c r="AB68" s="45"/>
      <c r="AC68" s="45"/>
      <c r="AD68" s="45"/>
      <c r="AE68" s="45"/>
      <c r="AF68" s="45"/>
      <c r="AG68" s="55"/>
    </row>
    <row r="69" spans="1:33" ht="29.45" thickBot="1">
      <c r="A69" s="78" t="s">
        <v>60</v>
      </c>
      <c r="B69" s="79"/>
      <c r="C69" s="79"/>
      <c r="D69" s="80"/>
      <c r="E69" s="80"/>
      <c r="F69" s="80"/>
      <c r="G69" s="80"/>
      <c r="H69" s="81"/>
      <c r="I69" s="6"/>
      <c r="J69" s="6"/>
      <c r="K69" s="20" t="s">
        <v>61</v>
      </c>
      <c r="L69" s="21"/>
      <c r="M69" s="21"/>
      <c r="N69" s="21"/>
      <c r="O69" s="21"/>
      <c r="P69" s="21"/>
      <c r="Q69" s="21"/>
      <c r="R69" s="21"/>
      <c r="S69" s="38"/>
      <c r="T69" s="37"/>
      <c r="U69" s="51"/>
      <c r="V69" s="6"/>
      <c r="W69" s="6"/>
      <c r="X69" s="41"/>
      <c r="Y69" s="45"/>
      <c r="Z69" s="46"/>
      <c r="AA69" s="45"/>
      <c r="AB69" s="45"/>
      <c r="AC69" s="45"/>
      <c r="AD69" s="45"/>
      <c r="AE69" s="45"/>
      <c r="AF69" s="45"/>
      <c r="AG69" s="55"/>
    </row>
    <row r="70" spans="1:33" ht="29.45" thickBot="1">
      <c r="A70" s="82" t="s">
        <v>62</v>
      </c>
      <c r="B70" s="83"/>
      <c r="C70" s="83"/>
      <c r="D70" s="83"/>
      <c r="E70" s="83"/>
      <c r="F70" s="83"/>
      <c r="G70" s="83"/>
      <c r="H70" s="84"/>
      <c r="I70" s="6"/>
      <c r="J70" s="6"/>
      <c r="K70" s="63" t="s">
        <v>63</v>
      </c>
      <c r="L70" s="64"/>
      <c r="M70" s="64"/>
      <c r="N70" s="64"/>
      <c r="O70" s="64"/>
      <c r="P70" s="64"/>
      <c r="Q70" s="64"/>
      <c r="R70" s="64"/>
      <c r="S70" s="65"/>
      <c r="T70" s="66"/>
      <c r="U70" s="67"/>
      <c r="V70" s="6"/>
      <c r="W70" s="6"/>
      <c r="X70" s="68"/>
      <c r="Y70" s="69"/>
      <c r="Z70" s="70"/>
      <c r="AA70" s="69"/>
      <c r="AB70" s="69"/>
      <c r="AC70" s="69"/>
      <c r="AD70" s="69"/>
      <c r="AE70" s="69"/>
      <c r="AF70" s="69"/>
      <c r="AG70" s="71"/>
    </row>
    <row r="71" spans="1:33" ht="28.9">
      <c r="A71" s="6"/>
      <c r="B71" s="6"/>
      <c r="C71" s="6"/>
      <c r="D71" s="6"/>
      <c r="E71" s="6"/>
      <c r="F71" s="6"/>
      <c r="G71" s="6"/>
      <c r="H71" s="6"/>
      <c r="I71" s="6"/>
      <c r="J71" s="72"/>
      <c r="K71" s="73"/>
      <c r="L71" s="74"/>
      <c r="M71" s="74"/>
      <c r="N71" s="74"/>
      <c r="O71" s="74"/>
      <c r="P71" s="74"/>
      <c r="Q71" s="74"/>
      <c r="R71" s="72"/>
      <c r="S71" s="72"/>
      <c r="T71" s="72"/>
      <c r="U71" s="72"/>
      <c r="V71" s="72"/>
      <c r="W71" s="72"/>
      <c r="X71" s="72"/>
      <c r="Y71" s="72"/>
      <c r="Z71" s="6"/>
      <c r="AA71" s="6"/>
      <c r="AB71" s="6"/>
      <c r="AC71" s="6"/>
      <c r="AD71" s="6"/>
      <c r="AE71" s="6"/>
      <c r="AF71" s="6"/>
      <c r="AG71" s="6"/>
    </row>
    <row r="72" spans="1:33" ht="28.9">
      <c r="A72" s="6" t="s">
        <v>64</v>
      </c>
      <c r="B72" s="6"/>
      <c r="C72" s="6"/>
      <c r="D72" s="6"/>
      <c r="E72" s="6"/>
      <c r="F72" s="6"/>
      <c r="G72" s="6"/>
      <c r="H72" s="6" t="s">
        <v>65</v>
      </c>
      <c r="I72" s="6"/>
      <c r="J72" s="72"/>
      <c r="K72" s="73"/>
      <c r="L72" s="74"/>
      <c r="M72" s="74"/>
      <c r="N72" s="74"/>
      <c r="O72" s="74"/>
      <c r="P72" s="74" t="s">
        <v>66</v>
      </c>
      <c r="Q72" s="74"/>
      <c r="R72" s="72"/>
      <c r="S72" s="72"/>
      <c r="T72" s="72"/>
      <c r="U72" s="72"/>
      <c r="V72" s="72"/>
      <c r="W72" s="72"/>
      <c r="X72" s="72"/>
      <c r="Y72" s="72"/>
      <c r="Z72" s="6"/>
      <c r="AA72" s="6" t="s">
        <v>72</v>
      </c>
      <c r="AB72" s="6"/>
      <c r="AC72" s="6"/>
      <c r="AD72" s="6"/>
      <c r="AE72" s="6"/>
      <c r="AF72" s="6"/>
      <c r="AG72" s="6"/>
    </row>
    <row r="73" spans="1:33" ht="28.9">
      <c r="A73" s="6"/>
      <c r="B73" s="6"/>
      <c r="C73" s="6"/>
      <c r="D73" s="6"/>
      <c r="E73" s="6"/>
      <c r="F73" s="6"/>
      <c r="G73" s="6"/>
      <c r="H73" s="6"/>
      <c r="I73" s="6"/>
      <c r="J73" s="72"/>
      <c r="K73" s="73"/>
      <c r="L73" s="74"/>
      <c r="M73" s="74"/>
      <c r="N73" s="74"/>
      <c r="O73" s="74"/>
      <c r="P73" s="74" t="s">
        <v>68</v>
      </c>
      <c r="Q73" s="74"/>
      <c r="R73" s="72"/>
      <c r="S73" s="72"/>
      <c r="T73" s="72"/>
      <c r="U73" s="72"/>
      <c r="V73" s="72"/>
      <c r="W73" s="72"/>
      <c r="X73" s="72"/>
      <c r="Y73" s="72"/>
      <c r="Z73" s="6"/>
      <c r="AA73" s="6"/>
      <c r="AB73" s="6"/>
      <c r="AC73" s="6"/>
      <c r="AD73" s="6"/>
      <c r="AE73" s="6"/>
      <c r="AF73" s="6"/>
    </row>
    <row r="74" spans="1:33" ht="28.9">
      <c r="A74" s="6"/>
      <c r="B74" s="6"/>
      <c r="C74" s="6"/>
      <c r="D74" s="6"/>
      <c r="E74" s="6"/>
      <c r="F74" s="6"/>
      <c r="G74" s="6"/>
      <c r="H74" s="6"/>
      <c r="I74" s="6"/>
      <c r="J74" s="72"/>
      <c r="K74" s="73"/>
      <c r="L74" s="74"/>
      <c r="M74" s="74"/>
      <c r="N74" s="74"/>
      <c r="O74" s="74"/>
      <c r="P74" s="74"/>
      <c r="Q74" s="74"/>
      <c r="R74" s="72"/>
      <c r="S74" s="72"/>
      <c r="T74" s="72"/>
      <c r="U74" s="72"/>
      <c r="V74" s="72"/>
      <c r="W74" s="72"/>
      <c r="X74" s="72"/>
      <c r="Y74" s="72"/>
      <c r="Z74" s="6"/>
      <c r="AA74" s="6"/>
      <c r="AB74" s="6"/>
      <c r="AC74" s="6"/>
      <c r="AD74" s="6"/>
      <c r="AE74" s="6"/>
      <c r="AF74" s="6"/>
    </row>
    <row r="75" spans="1:33" ht="28.9">
      <c r="A75" s="6"/>
      <c r="B75" s="6"/>
      <c r="C75" s="6"/>
      <c r="D75" s="6"/>
      <c r="E75" s="6"/>
      <c r="F75" s="6"/>
      <c r="G75" s="6"/>
      <c r="H75" s="6"/>
      <c r="I75" s="6"/>
      <c r="J75" s="72"/>
      <c r="K75" s="73"/>
      <c r="L75" s="74"/>
      <c r="M75" s="74"/>
      <c r="N75" s="74"/>
      <c r="O75" s="74"/>
      <c r="P75" s="74"/>
      <c r="Q75" s="74"/>
      <c r="R75" s="72"/>
      <c r="S75" s="72"/>
      <c r="T75" s="72"/>
      <c r="U75" s="72"/>
      <c r="V75" s="72"/>
      <c r="W75" s="72"/>
      <c r="X75" s="72"/>
      <c r="Y75" s="72"/>
      <c r="Z75" s="6"/>
      <c r="AA75" s="6"/>
      <c r="AB75" s="6"/>
      <c r="AC75" s="6"/>
      <c r="AD75" s="6"/>
      <c r="AE75" s="6"/>
      <c r="AF75" s="6"/>
    </row>
    <row r="76" spans="1:33" ht="28.9">
      <c r="A76" s="6"/>
      <c r="B76" s="6"/>
      <c r="C76" s="6"/>
      <c r="D76" s="6"/>
      <c r="E76" s="6"/>
      <c r="F76" s="6"/>
      <c r="G76" s="6"/>
      <c r="H76" s="6"/>
      <c r="I76" s="6"/>
      <c r="J76" s="72"/>
      <c r="K76" s="73"/>
      <c r="L76" s="74"/>
      <c r="M76" s="74"/>
      <c r="N76" s="74"/>
      <c r="O76" s="74"/>
      <c r="P76" s="74"/>
      <c r="Q76" s="74"/>
      <c r="R76" s="72"/>
      <c r="S76" s="72"/>
      <c r="T76" s="72"/>
      <c r="U76" s="72"/>
      <c r="V76" s="72"/>
      <c r="W76" s="72"/>
      <c r="X76" s="72"/>
      <c r="Y76" s="72"/>
      <c r="Z76" s="6"/>
      <c r="AA76" s="6"/>
      <c r="AB76" s="6"/>
      <c r="AC76" s="6"/>
      <c r="AD76" s="6"/>
      <c r="AE76" s="6"/>
      <c r="AF76" s="6"/>
    </row>
    <row r="77" spans="1:33">
      <c r="A77" s="680"/>
      <c r="B77" s="681"/>
      <c r="C77" s="681"/>
      <c r="D77" s="681"/>
      <c r="E77" s="681"/>
      <c r="F77" s="681"/>
      <c r="G77" s="681"/>
      <c r="H77" s="681"/>
      <c r="I77" s="681"/>
      <c r="J77" s="681"/>
      <c r="K77" s="681"/>
      <c r="L77" s="681"/>
      <c r="M77" s="681"/>
      <c r="N77" s="681"/>
      <c r="O77" s="681"/>
      <c r="P77" s="681"/>
      <c r="Q77" s="681"/>
      <c r="R77" s="681"/>
      <c r="S77" s="681"/>
      <c r="T77" s="681"/>
      <c r="U77" s="681"/>
      <c r="V77" s="681"/>
      <c r="W77" s="681"/>
      <c r="X77" s="681"/>
      <c r="Y77" s="681"/>
      <c r="Z77" s="681"/>
      <c r="AA77" s="681"/>
      <c r="AB77" s="681"/>
      <c r="AC77" s="681"/>
      <c r="AD77" s="681"/>
      <c r="AE77" s="681"/>
      <c r="AF77" s="681"/>
    </row>
    <row r="78" spans="1:33">
      <c r="A78" s="681"/>
      <c r="B78" s="681"/>
      <c r="C78" s="681"/>
      <c r="D78" s="681"/>
      <c r="E78" s="681"/>
      <c r="F78" s="681"/>
      <c r="G78" s="681"/>
      <c r="H78" s="681"/>
      <c r="I78" s="681"/>
      <c r="J78" s="681"/>
      <c r="K78" s="681"/>
      <c r="L78" s="681"/>
      <c r="M78" s="681"/>
      <c r="N78" s="681"/>
      <c r="O78" s="681"/>
      <c r="P78" s="681"/>
      <c r="Q78" s="681"/>
      <c r="R78" s="681"/>
      <c r="S78" s="681"/>
      <c r="T78" s="681"/>
      <c r="U78" s="681"/>
      <c r="V78" s="681"/>
      <c r="W78" s="681"/>
      <c r="X78" s="681"/>
      <c r="Y78" s="681"/>
      <c r="Z78" s="681"/>
      <c r="AA78" s="681"/>
      <c r="AB78" s="681"/>
      <c r="AC78" s="681"/>
      <c r="AD78" s="681"/>
      <c r="AE78" s="681"/>
      <c r="AF78" s="681"/>
    </row>
    <row r="79" spans="1:33">
      <c r="A79" s="704"/>
      <c r="B79" s="704"/>
      <c r="C79" s="704"/>
      <c r="D79" s="704"/>
      <c r="E79" s="704"/>
      <c r="F79" s="704"/>
      <c r="G79" s="704"/>
      <c r="H79" s="704"/>
      <c r="I79" s="704"/>
      <c r="J79" s="704"/>
      <c r="K79" s="704"/>
      <c r="L79" s="704"/>
      <c r="M79" s="704"/>
      <c r="N79" s="704"/>
      <c r="O79" s="704"/>
      <c r="P79" s="704"/>
      <c r="Q79" s="704"/>
      <c r="R79" s="704"/>
      <c r="S79" s="704"/>
      <c r="T79" s="704"/>
      <c r="U79" s="704"/>
      <c r="V79" s="704"/>
      <c r="W79" s="704"/>
      <c r="X79" s="704"/>
      <c r="Y79" s="704"/>
      <c r="Z79" s="704"/>
      <c r="AA79" s="704"/>
      <c r="AB79" s="704"/>
      <c r="AC79" s="704"/>
      <c r="AD79" s="704"/>
      <c r="AE79" s="704"/>
      <c r="AF79" s="704"/>
    </row>
    <row r="80" spans="1:33">
      <c r="A80" s="704"/>
      <c r="B80" s="704"/>
      <c r="C80" s="704"/>
      <c r="D80" s="704"/>
      <c r="E80" s="704"/>
      <c r="F80" s="704"/>
      <c r="G80" s="704"/>
      <c r="H80" s="704"/>
      <c r="I80" s="704"/>
      <c r="J80" s="704"/>
      <c r="K80" s="704"/>
      <c r="L80" s="704"/>
      <c r="M80" s="704"/>
      <c r="N80" s="704"/>
      <c r="O80" s="704"/>
      <c r="P80" s="704"/>
      <c r="Q80" s="704"/>
      <c r="R80" s="704"/>
      <c r="S80" s="704"/>
      <c r="T80" s="704"/>
      <c r="U80" s="704"/>
      <c r="V80" s="704"/>
      <c r="W80" s="704"/>
      <c r="X80" s="704"/>
      <c r="Y80" s="704"/>
      <c r="Z80" s="704"/>
      <c r="AA80" s="704"/>
      <c r="AB80" s="704"/>
      <c r="AC80" s="704"/>
      <c r="AD80" s="704"/>
      <c r="AE80" s="704"/>
      <c r="AF80" s="704"/>
    </row>
  </sheetData>
  <mergeCells count="3">
    <mergeCell ref="A60:A61"/>
    <mergeCell ref="X65:AG65"/>
    <mergeCell ref="A77:AF80"/>
  </mergeCells>
  <pageMargins left="0.7" right="0.7" top="0.75" bottom="0.75" header="0.3" footer="0.3"/>
  <pageSetup paperSize="9" orientation="landscape" horizontalDpi="360" verticalDpi="36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090DA-36BE-C241-9049-EAEBEFD95D59}">
  <dimension ref="B4:Q70"/>
  <sheetViews>
    <sheetView topLeftCell="A25" zoomScale="75" workbookViewId="0">
      <selection activeCell="V28" sqref="V28"/>
    </sheetView>
  </sheetViews>
  <sheetFormatPr defaultColWidth="11.42578125" defaultRowHeight="14.45"/>
  <cols>
    <col min="2" max="2" width="26.28515625" customWidth="1"/>
    <col min="3" max="3" width="27.28515625" customWidth="1"/>
    <col min="4" max="4" width="15.28515625" customWidth="1"/>
    <col min="5" max="6" width="15.7109375" customWidth="1"/>
    <col min="7" max="7" width="16.7109375" customWidth="1"/>
    <col min="16" max="16" width="21.28515625" customWidth="1"/>
    <col min="17" max="17" width="18.42578125" customWidth="1"/>
  </cols>
  <sheetData>
    <row r="4" spans="2:17" ht="16.149999999999999" customHeight="1" thickBot="1"/>
    <row r="5" spans="2:17" ht="15" customHeight="1" thickBot="1">
      <c r="B5" s="500"/>
      <c r="C5" s="500"/>
      <c r="D5" s="684" t="s">
        <v>87</v>
      </c>
      <c r="E5" s="684"/>
      <c r="F5" s="684"/>
      <c r="G5" s="684"/>
      <c r="H5" s="684"/>
      <c r="I5" s="684"/>
      <c r="J5" s="684"/>
      <c r="K5" s="684"/>
      <c r="L5" s="684"/>
      <c r="M5" s="684"/>
      <c r="N5" s="684"/>
      <c r="O5" s="684"/>
      <c r="P5" s="501"/>
      <c r="Q5" s="501"/>
    </row>
    <row r="6" spans="2:17" ht="16.149999999999999" customHeight="1" thickBot="1">
      <c r="B6" s="500"/>
      <c r="C6" s="500"/>
      <c r="D6" s="684"/>
      <c r="E6" s="684"/>
      <c r="F6" s="684"/>
      <c r="G6" s="684"/>
      <c r="H6" s="684"/>
      <c r="I6" s="684"/>
      <c r="J6" s="684"/>
      <c r="K6" s="684"/>
      <c r="L6" s="684"/>
      <c r="M6" s="684"/>
      <c r="N6" s="684"/>
      <c r="O6" s="684"/>
      <c r="P6" s="501"/>
      <c r="Q6" s="501"/>
    </row>
    <row r="7" spans="2:17" ht="21" thickBot="1">
      <c r="B7" s="502" t="s">
        <v>88</v>
      </c>
      <c r="C7" s="503" t="s">
        <v>89</v>
      </c>
      <c r="D7" s="502" t="s">
        <v>90</v>
      </c>
      <c r="E7" s="502" t="s">
        <v>91</v>
      </c>
      <c r="F7" s="502" t="s">
        <v>92</v>
      </c>
      <c r="G7" s="502" t="s">
        <v>93</v>
      </c>
      <c r="H7" s="502" t="s">
        <v>94</v>
      </c>
      <c r="I7" s="502" t="s">
        <v>95</v>
      </c>
      <c r="J7" s="502" t="s">
        <v>79</v>
      </c>
      <c r="K7" s="502" t="s">
        <v>80</v>
      </c>
      <c r="L7" s="502" t="s">
        <v>81</v>
      </c>
      <c r="M7" s="502" t="s">
        <v>82</v>
      </c>
      <c r="N7" s="502" t="s">
        <v>96</v>
      </c>
      <c r="O7" s="502" t="s">
        <v>97</v>
      </c>
      <c r="P7" s="575" t="s">
        <v>98</v>
      </c>
      <c r="Q7" s="575" t="s">
        <v>99</v>
      </c>
    </row>
    <row r="8" spans="2:17" ht="20.45">
      <c r="B8" s="504" t="s">
        <v>100</v>
      </c>
      <c r="C8" s="505">
        <v>28</v>
      </c>
      <c r="D8" s="506">
        <f>SUM(April!AF3)</f>
        <v>0</v>
      </c>
      <c r="E8" s="507">
        <f>SUM(May!AG3)</f>
        <v>1</v>
      </c>
      <c r="F8" s="506">
        <f>SUM(June!AF3)</f>
        <v>0</v>
      </c>
      <c r="G8" s="507">
        <f>SUM(July!AG3)</f>
        <v>0</v>
      </c>
      <c r="H8" s="506">
        <f>SUM(August!AG3)</f>
        <v>0</v>
      </c>
      <c r="I8" s="508">
        <f>SUM(September!AG3)</f>
        <v>0</v>
      </c>
      <c r="J8" s="534">
        <f>SUM(October!AG3)</f>
        <v>0</v>
      </c>
      <c r="K8" s="508">
        <f>SUM(November!AF3)</f>
        <v>0</v>
      </c>
      <c r="L8" s="509">
        <f>SUM(December!AG3)</f>
        <v>0</v>
      </c>
      <c r="M8" s="508">
        <f>SUM(January!AG3)</f>
        <v>0</v>
      </c>
      <c r="N8" s="509">
        <f>SUM(February!AD3)</f>
        <v>0</v>
      </c>
      <c r="O8" s="508">
        <f>SUM(March!AG3)</f>
        <v>0</v>
      </c>
      <c r="P8" s="538">
        <f>SUM(D8:O8)</f>
        <v>1</v>
      </c>
      <c r="Q8" s="541">
        <f t="shared" ref="Q8:Q13" si="0">SUM(C8-P8)</f>
        <v>27</v>
      </c>
    </row>
    <row r="9" spans="2:17" ht="20.45">
      <c r="B9" s="510" t="s">
        <v>101</v>
      </c>
      <c r="C9" s="511">
        <v>28</v>
      </c>
      <c r="D9" s="512">
        <f>SUM(April!AF6)</f>
        <v>0</v>
      </c>
      <c r="E9" s="513">
        <f>SUM(May!AG6)</f>
        <v>0</v>
      </c>
      <c r="F9" s="514">
        <f>SUM(June!AF6)</f>
        <v>0</v>
      </c>
      <c r="G9" s="513">
        <f>SUM(July!AG6)</f>
        <v>0</v>
      </c>
      <c r="H9" s="514">
        <f>SUM(August!AG6)</f>
        <v>0</v>
      </c>
      <c r="I9" s="513">
        <f>SUM(September!AG6)</f>
        <v>0</v>
      </c>
      <c r="J9" s="536">
        <f>SUM(October!AG6)</f>
        <v>0</v>
      </c>
      <c r="K9" s="513">
        <f>SUM(November!AF6)</f>
        <v>0</v>
      </c>
      <c r="L9" s="514">
        <f>SUM(December!AG6)</f>
        <v>0</v>
      </c>
      <c r="M9" s="513">
        <f>SUM(January!AG6)</f>
        <v>0</v>
      </c>
      <c r="N9" s="514">
        <f>SUM(February!AD6)</f>
        <v>0</v>
      </c>
      <c r="O9" s="513">
        <f>SUM(March!AG6)</f>
        <v>0</v>
      </c>
      <c r="P9" s="539">
        <f t="shared" ref="P9:P13" si="1">SUM(D9:O9)</f>
        <v>0</v>
      </c>
      <c r="Q9" s="542">
        <f t="shared" si="0"/>
        <v>28</v>
      </c>
    </row>
    <row r="10" spans="2:17" ht="20.45">
      <c r="B10" s="515" t="s">
        <v>102</v>
      </c>
      <c r="C10" s="511">
        <v>28</v>
      </c>
      <c r="D10" s="512">
        <f>SUM(April!AF9)</f>
        <v>0</v>
      </c>
      <c r="E10" s="513">
        <f>SUM(May!AG9)</f>
        <v>4</v>
      </c>
      <c r="F10" s="514">
        <f>SUM(June!AF9)</f>
        <v>0</v>
      </c>
      <c r="G10" s="513">
        <f>SUM(July!AG9)</f>
        <v>0</v>
      </c>
      <c r="H10" s="514">
        <f>SUM(August!AG9)</f>
        <v>0</v>
      </c>
      <c r="I10" s="513">
        <f>SUM(September!AG9)</f>
        <v>0</v>
      </c>
      <c r="J10" s="514">
        <f>SUM(October!AG9)</f>
        <v>0</v>
      </c>
      <c r="K10" s="513">
        <f>SUM(November!AF9)</f>
        <v>0</v>
      </c>
      <c r="L10" s="514">
        <f>SUM(December!AG9)</f>
        <v>0</v>
      </c>
      <c r="M10" s="513">
        <f>SUM(January!AG9)</f>
        <v>0</v>
      </c>
      <c r="N10" s="514">
        <f>SUM(February!AD9)</f>
        <v>0</v>
      </c>
      <c r="O10" s="513">
        <f>SUM(March!AG9)</f>
        <v>0</v>
      </c>
      <c r="P10" s="539">
        <f t="shared" si="1"/>
        <v>4</v>
      </c>
      <c r="Q10" s="542">
        <f t="shared" si="0"/>
        <v>24</v>
      </c>
    </row>
    <row r="11" spans="2:17" ht="20.45">
      <c r="B11" s="515" t="s">
        <v>103</v>
      </c>
      <c r="C11" s="516">
        <v>28</v>
      </c>
      <c r="D11" s="514">
        <f>SUM(April!AF15)</f>
        <v>0</v>
      </c>
      <c r="E11" s="513">
        <f>SUM(May!AG15)</f>
        <v>0</v>
      </c>
      <c r="F11" s="514">
        <f>SUM(June!AF15)</f>
        <v>0</v>
      </c>
      <c r="G11" s="513">
        <f>SUM(July!AG15)</f>
        <v>6</v>
      </c>
      <c r="H11" s="514">
        <f>SUM(August!AG15)</f>
        <v>6</v>
      </c>
      <c r="I11" s="513">
        <f>SUM(September!AG15)</f>
        <v>0</v>
      </c>
      <c r="J11" s="514">
        <f>SUM(October!AG15)</f>
        <v>0</v>
      </c>
      <c r="K11" s="513">
        <f>SUM(November!AF15)</f>
        <v>0</v>
      </c>
      <c r="L11" s="514">
        <f>SUM(December!AG15)</f>
        <v>0</v>
      </c>
      <c r="M11" s="513">
        <f>SUM(January!AG15)</f>
        <v>0</v>
      </c>
      <c r="N11" s="514">
        <f>SUM(February!AD15)</f>
        <v>0</v>
      </c>
      <c r="O11" s="513">
        <f>SUM(March!AG15)</f>
        <v>0</v>
      </c>
      <c r="P11" s="539">
        <f>SUM(D11:O11)</f>
        <v>12</v>
      </c>
      <c r="Q11" s="542">
        <f t="shared" si="0"/>
        <v>16</v>
      </c>
    </row>
    <row r="12" spans="2:17" ht="20.45">
      <c r="B12" s="515" t="s">
        <v>104</v>
      </c>
      <c r="C12" s="516">
        <v>28</v>
      </c>
      <c r="D12" s="514">
        <f>SUM(April!AF18)</f>
        <v>0</v>
      </c>
      <c r="E12" s="513">
        <f>SUM(May!AG18)</f>
        <v>4</v>
      </c>
      <c r="F12" s="514">
        <f>SUM(June!AF18)</f>
        <v>0</v>
      </c>
      <c r="G12" s="513">
        <f>SUM(July!AG18)</f>
        <v>0</v>
      </c>
      <c r="H12" s="514">
        <f>SUM(August!AG18)</f>
        <v>8</v>
      </c>
      <c r="I12" s="513">
        <f>SUM(September!AG18)</f>
        <v>0</v>
      </c>
      <c r="J12" s="514">
        <f>SUM(October!AG18)</f>
        <v>4</v>
      </c>
      <c r="K12" s="513">
        <f>SUM(November!AF18)</f>
        <v>4</v>
      </c>
      <c r="L12" s="514">
        <f>SUM(December!AG18)</f>
        <v>0</v>
      </c>
      <c r="M12" s="513">
        <f>SUM(January!AG18)</f>
        <v>0</v>
      </c>
      <c r="N12" s="514">
        <f>SUM(February!AD18)</f>
        <v>4</v>
      </c>
      <c r="O12" s="513">
        <f>SUM(March!AG18)</f>
        <v>0</v>
      </c>
      <c r="P12" s="539">
        <f>SUM(D12:O12)</f>
        <v>24</v>
      </c>
      <c r="Q12" s="542">
        <f t="shared" si="0"/>
        <v>4</v>
      </c>
    </row>
    <row r="13" spans="2:17" ht="20.45">
      <c r="B13" s="517" t="s">
        <v>105</v>
      </c>
      <c r="C13" s="516">
        <v>28</v>
      </c>
      <c r="D13" s="514">
        <f>SUM(April!AF21)</f>
        <v>0</v>
      </c>
      <c r="E13" s="513">
        <f>SUM(May!AG21)</f>
        <v>0</v>
      </c>
      <c r="F13" s="514">
        <f>SUM(June!AF21)</f>
        <v>4</v>
      </c>
      <c r="G13" s="513">
        <f>SUM(July!AG21)</f>
        <v>4</v>
      </c>
      <c r="H13" s="514">
        <f>SUM(August!AG21)</f>
        <v>0</v>
      </c>
      <c r="I13" s="513">
        <f>SUM(September!AG21)</f>
        <v>0</v>
      </c>
      <c r="J13" s="514">
        <f>SUM(October!AG21)</f>
        <v>0</v>
      </c>
      <c r="K13" s="513">
        <f>SUM(November!AF21)</f>
        <v>0</v>
      </c>
      <c r="L13" s="514">
        <f>SUM(December!AG21)</f>
        <v>0</v>
      </c>
      <c r="M13" s="513">
        <f>SUM(January!AG21)</f>
        <v>0</v>
      </c>
      <c r="N13" s="514">
        <f>SUM(February!AD21)</f>
        <v>0</v>
      </c>
      <c r="O13" s="513">
        <f>SUM(March!AG21)</f>
        <v>0</v>
      </c>
      <c r="P13" s="539">
        <f t="shared" si="1"/>
        <v>8</v>
      </c>
      <c r="Q13" s="542">
        <f t="shared" si="0"/>
        <v>20</v>
      </c>
    </row>
    <row r="14" spans="2:17" ht="20.45" hidden="1">
      <c r="B14" s="518"/>
      <c r="C14" s="516">
        <v>0</v>
      </c>
      <c r="D14" s="514">
        <f>SUM(April!AF24)</f>
        <v>0</v>
      </c>
      <c r="E14" s="513">
        <f>SUM(May!AG24)</f>
        <v>0</v>
      </c>
      <c r="F14" s="514">
        <f>SUM(June!AF24)</f>
        <v>0</v>
      </c>
      <c r="G14" s="513">
        <f>SUM(July!AG24)</f>
        <v>0</v>
      </c>
      <c r="H14" s="514">
        <f>SUM(August!AG24)</f>
        <v>0</v>
      </c>
      <c r="I14" s="513">
        <f>SUM(September!AG24)</f>
        <v>0</v>
      </c>
      <c r="J14" s="514">
        <f>SUM(October!AG24)</f>
        <v>0</v>
      </c>
      <c r="K14" s="513">
        <f>SUM(November!AF24)</f>
        <v>0</v>
      </c>
      <c r="L14" s="514">
        <f>SUM(December!AG24)</f>
        <v>0</v>
      </c>
      <c r="M14" s="513">
        <f>SUM(January!AG24)</f>
        <v>0</v>
      </c>
      <c r="N14" s="514">
        <f>SUM(February!AD24)</f>
        <v>0</v>
      </c>
      <c r="O14" s="519">
        <f>SUM(March!AG24)</f>
        <v>0</v>
      </c>
      <c r="P14" s="539">
        <f t="shared" ref="P14:P16" si="2">SUM(D14:O14)</f>
        <v>0</v>
      </c>
      <c r="Q14" s="542">
        <f t="shared" ref="Q14:Q16" si="3">SUM(C14-P14)</f>
        <v>0</v>
      </c>
    </row>
    <row r="15" spans="2:17" ht="20.45">
      <c r="B15" s="517" t="s">
        <v>106</v>
      </c>
      <c r="C15" s="516">
        <v>28</v>
      </c>
      <c r="D15" s="514">
        <f>SUM(April!AF27)</f>
        <v>4</v>
      </c>
      <c r="E15" s="513">
        <f>SUM(May!AG27)</f>
        <v>0</v>
      </c>
      <c r="F15" s="514">
        <f>SUM(June!AF27)</f>
        <v>0</v>
      </c>
      <c r="G15" s="513">
        <f>SUM(July!AG27)</f>
        <v>0</v>
      </c>
      <c r="H15" s="514">
        <f>SUM(August!AG27)</f>
        <v>0</v>
      </c>
      <c r="I15" s="513">
        <f>SUM(September!A27)</f>
        <v>0</v>
      </c>
      <c r="J15" s="535">
        <f>SUM(October!AG27)</f>
        <v>0</v>
      </c>
      <c r="K15" s="513">
        <f>SUM(November!AF27)</f>
        <v>0</v>
      </c>
      <c r="L15" s="514">
        <f>SUM(December!AG27)</f>
        <v>0</v>
      </c>
      <c r="M15" s="513">
        <f>SUM(January!AG27)</f>
        <v>0</v>
      </c>
      <c r="N15" s="514">
        <f>SUM(February!AD27)</f>
        <v>0</v>
      </c>
      <c r="O15" s="513">
        <f>SUM(March!AG27)</f>
        <v>0</v>
      </c>
      <c r="P15" s="539">
        <f t="shared" si="2"/>
        <v>4</v>
      </c>
      <c r="Q15" s="542">
        <f t="shared" si="3"/>
        <v>24</v>
      </c>
    </row>
    <row r="16" spans="2:17" ht="20.45">
      <c r="B16" s="515" t="s">
        <v>107</v>
      </c>
      <c r="C16" s="516">
        <v>28</v>
      </c>
      <c r="D16" s="514">
        <f>SUM(April!AF30)</f>
        <v>0</v>
      </c>
      <c r="E16" s="513">
        <f>SUM(May!AG30)</f>
        <v>0</v>
      </c>
      <c r="F16" s="514">
        <f>SUM(June!AF30)</f>
        <v>0</v>
      </c>
      <c r="G16" s="513">
        <f>SUM(July!AG30)</f>
        <v>0</v>
      </c>
      <c r="H16" s="514">
        <f>SUM(August!AG30)</f>
        <v>0</v>
      </c>
      <c r="I16" s="513">
        <f>SUM(September!AG30)</f>
        <v>0</v>
      </c>
      <c r="J16" s="535">
        <f>SUM(October!AG30)</f>
        <v>0</v>
      </c>
      <c r="K16" s="513">
        <f>SUM(November!AF30)</f>
        <v>0</v>
      </c>
      <c r="L16" s="514">
        <f>SUM(December!AG30)</f>
        <v>0</v>
      </c>
      <c r="M16" s="513">
        <f>SUM(January!AG30)</f>
        <v>0</v>
      </c>
      <c r="N16" s="514">
        <f>SUM(February!AD30)</f>
        <v>0</v>
      </c>
      <c r="O16" s="513">
        <f>SUM(March!AG30)</f>
        <v>0</v>
      </c>
      <c r="P16" s="539">
        <f t="shared" si="2"/>
        <v>0</v>
      </c>
      <c r="Q16" s="542">
        <f t="shared" si="3"/>
        <v>28</v>
      </c>
    </row>
    <row r="17" spans="2:17" ht="20.45">
      <c r="B17" s="515"/>
      <c r="C17" s="516"/>
      <c r="D17" s="514"/>
      <c r="E17" s="513"/>
      <c r="F17" s="514"/>
      <c r="G17" s="513"/>
      <c r="H17" s="514"/>
      <c r="I17" s="513"/>
      <c r="J17" s="514"/>
      <c r="K17" s="513"/>
      <c r="L17" s="514"/>
      <c r="M17" s="513"/>
      <c r="N17" s="514"/>
      <c r="O17" s="513"/>
      <c r="P17" s="539"/>
      <c r="Q17" s="542"/>
    </row>
    <row r="18" spans="2:17" ht="20.45">
      <c r="B18" s="515"/>
      <c r="C18" s="516"/>
      <c r="D18" s="514"/>
      <c r="E18" s="513"/>
      <c r="F18" s="514"/>
      <c r="G18" s="513"/>
      <c r="H18" s="514"/>
      <c r="I18" s="513"/>
      <c r="J18" s="514"/>
      <c r="K18" s="513"/>
      <c r="L18" s="514"/>
      <c r="M18" s="513"/>
      <c r="N18" s="514"/>
      <c r="O18" s="513"/>
      <c r="P18" s="539"/>
      <c r="Q18" s="542"/>
    </row>
    <row r="19" spans="2:17" ht="20.45">
      <c r="B19" s="515"/>
      <c r="C19" s="516"/>
      <c r="D19" s="520"/>
      <c r="E19" s="513"/>
      <c r="F19" s="514"/>
      <c r="G19" s="521"/>
      <c r="H19" s="520"/>
      <c r="I19" s="521"/>
      <c r="J19" s="520"/>
      <c r="K19" s="521"/>
      <c r="L19" s="520"/>
      <c r="M19" s="521"/>
      <c r="N19" s="520"/>
      <c r="O19" s="521"/>
      <c r="P19" s="539"/>
      <c r="Q19" s="542"/>
    </row>
    <row r="20" spans="2:17" ht="21" thickBot="1">
      <c r="B20" s="522"/>
      <c r="C20" s="523"/>
      <c r="D20" s="524"/>
      <c r="E20" s="525"/>
      <c r="F20" s="524"/>
      <c r="G20" s="525"/>
      <c r="H20" s="524"/>
      <c r="I20" s="525"/>
      <c r="J20" s="524"/>
      <c r="K20" s="525"/>
      <c r="L20" s="524"/>
      <c r="M20" s="525"/>
      <c r="N20" s="524"/>
      <c r="O20" s="525"/>
      <c r="P20" s="540"/>
      <c r="Q20" s="543"/>
    </row>
    <row r="21" spans="2:17">
      <c r="B21" s="526"/>
      <c r="C21" s="526"/>
      <c r="D21" s="526"/>
      <c r="E21" s="526"/>
      <c r="F21" s="526"/>
      <c r="G21" s="526"/>
      <c r="H21" s="526"/>
      <c r="I21" s="526"/>
      <c r="J21" s="526"/>
      <c r="K21" s="526"/>
      <c r="L21" s="526"/>
      <c r="M21" s="526"/>
      <c r="N21" s="526"/>
      <c r="O21" s="526"/>
      <c r="P21" s="501"/>
      <c r="Q21" s="501"/>
    </row>
    <row r="22" spans="2:17">
      <c r="B22" s="527"/>
      <c r="C22" s="527"/>
      <c r="D22" s="527"/>
      <c r="E22" s="527"/>
      <c r="F22" s="527"/>
      <c r="G22" s="527"/>
      <c r="H22" s="527"/>
      <c r="I22" s="527"/>
      <c r="J22" s="527"/>
      <c r="K22" s="527"/>
      <c r="L22" s="527"/>
      <c r="M22" s="527"/>
      <c r="N22" s="527"/>
      <c r="O22" s="527"/>
      <c r="P22" s="527"/>
      <c r="Q22" s="527"/>
    </row>
    <row r="23" spans="2:17" ht="15" thickBot="1">
      <c r="B23" s="501"/>
      <c r="C23" s="501"/>
      <c r="D23" s="501"/>
      <c r="E23" s="501"/>
      <c r="F23" s="501"/>
      <c r="G23" s="501"/>
      <c r="H23" s="501"/>
      <c r="I23" s="501"/>
      <c r="J23" s="501"/>
      <c r="K23" s="501"/>
      <c r="L23" s="501"/>
      <c r="M23" s="501"/>
      <c r="N23" s="501"/>
      <c r="O23" s="501"/>
      <c r="P23" s="501"/>
      <c r="Q23" s="501"/>
    </row>
    <row r="24" spans="2:17" ht="15" customHeight="1">
      <c r="B24" s="500"/>
      <c r="C24" s="3"/>
      <c r="D24" s="685" t="s">
        <v>108</v>
      </c>
      <c r="E24" s="686"/>
      <c r="F24" s="686"/>
      <c r="G24" s="686"/>
      <c r="H24" s="686"/>
      <c r="I24" s="686"/>
      <c r="J24" s="686"/>
      <c r="K24" s="686"/>
      <c r="L24" s="686"/>
      <c r="M24" s="686"/>
      <c r="N24" s="686"/>
      <c r="O24" s="687"/>
      <c r="Q24" s="501"/>
    </row>
    <row r="25" spans="2:17" ht="16.149999999999999" customHeight="1" thickBot="1">
      <c r="B25" s="500"/>
      <c r="C25" s="3"/>
      <c r="D25" s="688"/>
      <c r="E25" s="689"/>
      <c r="F25" s="689"/>
      <c r="G25" s="689"/>
      <c r="H25" s="689"/>
      <c r="I25" s="689"/>
      <c r="J25" s="689"/>
      <c r="K25" s="689"/>
      <c r="L25" s="689"/>
      <c r="M25" s="689"/>
      <c r="N25" s="689"/>
      <c r="O25" s="690"/>
      <c r="Q25" s="501"/>
    </row>
    <row r="26" spans="2:17" ht="21">
      <c r="B26" s="501"/>
      <c r="C26" s="4" t="s">
        <v>88</v>
      </c>
      <c r="D26" s="4" t="s">
        <v>90</v>
      </c>
      <c r="E26" s="4" t="s">
        <v>91</v>
      </c>
      <c r="F26" s="4" t="s">
        <v>92</v>
      </c>
      <c r="G26" s="4" t="s">
        <v>93</v>
      </c>
      <c r="H26" s="4" t="s">
        <v>94</v>
      </c>
      <c r="I26" s="4" t="s">
        <v>95</v>
      </c>
      <c r="J26" s="4" t="s">
        <v>79</v>
      </c>
      <c r="K26" s="4" t="s">
        <v>80</v>
      </c>
      <c r="L26" s="4" t="s">
        <v>81</v>
      </c>
      <c r="M26" s="4" t="s">
        <v>82</v>
      </c>
      <c r="N26" s="4" t="s">
        <v>96</v>
      </c>
      <c r="O26" s="4" t="s">
        <v>97</v>
      </c>
      <c r="P26" s="5" t="s">
        <v>109</v>
      </c>
      <c r="Q26" s="523"/>
    </row>
    <row r="27" spans="2:17" ht="21">
      <c r="B27" s="501"/>
      <c r="C27" s="359" t="s">
        <v>100</v>
      </c>
      <c r="D27" s="164">
        <f>SUM(April!AF5)</f>
        <v>0</v>
      </c>
      <c r="E27" s="537">
        <f>SUM(May!AG5)</f>
        <v>0</v>
      </c>
      <c r="F27" s="544">
        <f>SUM(June!AF5)</f>
        <v>0</v>
      </c>
      <c r="G27" s="537">
        <f>SUM(July!AG5)</f>
        <v>0</v>
      </c>
      <c r="H27" s="544">
        <f>SUM(August!AG5)</f>
        <v>0</v>
      </c>
      <c r="I27" s="165">
        <f>SUM(September!AF5)</f>
        <v>0</v>
      </c>
      <c r="J27" s="361">
        <f>SUM(October!AG5)</f>
        <v>0</v>
      </c>
      <c r="K27" s="165">
        <f>SUM(November!AF5)</f>
        <v>0</v>
      </c>
      <c r="L27" s="361">
        <f>SUM(December!AG5)</f>
        <v>0</v>
      </c>
      <c r="M27" s="217">
        <f>SUM(January!AG5)</f>
        <v>0</v>
      </c>
      <c r="N27" s="166">
        <f>SUM(February!AD5)</f>
        <v>0</v>
      </c>
      <c r="O27" s="217">
        <f>SUM(March!AG5)</f>
        <v>0</v>
      </c>
      <c r="P27" s="576">
        <f>SUM(D27:O27)</f>
        <v>0</v>
      </c>
      <c r="Q27" s="523"/>
    </row>
    <row r="28" spans="2:17" ht="21">
      <c r="B28" s="501"/>
      <c r="C28" s="359" t="s">
        <v>101</v>
      </c>
      <c r="D28" s="164">
        <f>SUM(April!AF8)</f>
        <v>4</v>
      </c>
      <c r="E28" s="217">
        <f>SUM(May!AG8)</f>
        <v>0</v>
      </c>
      <c r="F28" s="166">
        <f>SUM(June!AF8)</f>
        <v>2</v>
      </c>
      <c r="G28" s="217">
        <f>SUM(July!AG8)</f>
        <v>0</v>
      </c>
      <c r="H28" s="361">
        <f>SUM(August!AG8)</f>
        <v>0</v>
      </c>
      <c r="I28" s="165">
        <f>SUM(September!AF8)</f>
        <v>0</v>
      </c>
      <c r="J28" s="361">
        <f>SUM(October!AG8)</f>
        <v>0</v>
      </c>
      <c r="K28" s="165">
        <f>SUM(November!AF8)</f>
        <v>0</v>
      </c>
      <c r="L28" s="361">
        <f>SUM(December!AG8)</f>
        <v>0</v>
      </c>
      <c r="M28" s="217">
        <f>SUM(January!AG8)</f>
        <v>0</v>
      </c>
      <c r="N28" s="166">
        <f>SUM(February!AD8)</f>
        <v>0</v>
      </c>
      <c r="O28" s="217">
        <f>SUM(March!AG8)</f>
        <v>0</v>
      </c>
      <c r="P28" s="576">
        <f t="shared" ref="P28:P38" si="4">SUM(D28:O28)</f>
        <v>6</v>
      </c>
      <c r="Q28" s="530"/>
    </row>
    <row r="29" spans="2:17" ht="21">
      <c r="B29" s="501"/>
      <c r="C29" s="359" t="s">
        <v>102</v>
      </c>
      <c r="D29" s="164">
        <f>SUM(April!AF11)</f>
        <v>10</v>
      </c>
      <c r="E29" s="217">
        <f>SUM(May!AG11)</f>
        <v>8</v>
      </c>
      <c r="F29" s="166">
        <f>SUM(June!AF11)</f>
        <v>10</v>
      </c>
      <c r="G29" s="217">
        <f>SUM(July!AG11)</f>
        <v>10</v>
      </c>
      <c r="H29" s="361">
        <f>SUM(August!AG11)</f>
        <v>10</v>
      </c>
      <c r="I29" s="165">
        <f>SUM(September!AF11)</f>
        <v>10</v>
      </c>
      <c r="J29" s="361">
        <f>SUM(October!AG11)</f>
        <v>11</v>
      </c>
      <c r="K29" s="165">
        <f>SUM(November!AF11)</f>
        <v>10</v>
      </c>
      <c r="L29" s="361">
        <f>SUM(December!AG11)</f>
        <v>11</v>
      </c>
      <c r="M29" s="217">
        <f>SUM(January!AG11)</f>
        <v>10</v>
      </c>
      <c r="N29" s="166">
        <f>SUM(February!AD11)</f>
        <v>9</v>
      </c>
      <c r="O29" s="217">
        <f>SUM(March!AG11)</f>
        <v>11</v>
      </c>
      <c r="P29" s="576">
        <f t="shared" si="4"/>
        <v>120</v>
      </c>
      <c r="Q29" s="530"/>
    </row>
    <row r="30" spans="2:17" ht="21">
      <c r="B30" s="501"/>
      <c r="C30" s="360" t="s">
        <v>103</v>
      </c>
      <c r="D30" s="166">
        <f>SUM(April!AF17)</f>
        <v>10</v>
      </c>
      <c r="E30" s="217">
        <f>SUM(May!AG17)</f>
        <v>10</v>
      </c>
      <c r="F30" s="166">
        <f>SUM(June!AF17)</f>
        <v>10</v>
      </c>
      <c r="G30" s="217">
        <f>SUM(July!AG17)</f>
        <v>8</v>
      </c>
      <c r="H30" s="361">
        <f>SUM(August!AG17)</f>
        <v>8</v>
      </c>
      <c r="I30" s="165">
        <f>SUM(September!AF17)</f>
        <v>10</v>
      </c>
      <c r="J30" s="361">
        <f>SUM(October!AG17)</f>
        <v>10</v>
      </c>
      <c r="K30" s="165">
        <f>SUM(November!AF17)</f>
        <v>10</v>
      </c>
      <c r="L30" s="361">
        <f>SUM(December!AG17)</f>
        <v>10</v>
      </c>
      <c r="M30" s="217">
        <f>SUM(January!AG17)</f>
        <v>10</v>
      </c>
      <c r="N30" s="166">
        <f>SUM(February!AD17)</f>
        <v>10</v>
      </c>
      <c r="O30" s="217">
        <f>SUM(March!AG17)</f>
        <v>10</v>
      </c>
      <c r="P30" s="576">
        <f t="shared" si="4"/>
        <v>116</v>
      </c>
      <c r="Q30" s="530"/>
    </row>
    <row r="31" spans="2:17" ht="21">
      <c r="B31" s="501"/>
      <c r="C31" s="359" t="s">
        <v>104</v>
      </c>
      <c r="D31" s="166">
        <f>SUM(April!AF20)</f>
        <v>10</v>
      </c>
      <c r="E31" s="217">
        <f>SUM(May!AG20)</f>
        <v>9</v>
      </c>
      <c r="F31" s="166">
        <f>SUM(June!AF20)</f>
        <v>8</v>
      </c>
      <c r="G31" s="217">
        <f>SUM(July!AG20)</f>
        <v>10</v>
      </c>
      <c r="H31" s="361">
        <f>SUM(August!AG20)</f>
        <v>6</v>
      </c>
      <c r="I31" s="165">
        <f>SUM(September!AF29)</f>
        <v>10</v>
      </c>
      <c r="J31" s="361">
        <f>SUM(October!AG20)</f>
        <v>8</v>
      </c>
      <c r="K31" s="165">
        <f>SUM(November!AF20)</f>
        <v>8</v>
      </c>
      <c r="L31" s="361">
        <f>SUM(December!AG20)</f>
        <v>10</v>
      </c>
      <c r="M31" s="217">
        <f>SUM(January!AG20)</f>
        <v>11</v>
      </c>
      <c r="N31" s="166">
        <f>SUM(February!AD20)</f>
        <v>7</v>
      </c>
      <c r="O31" s="217">
        <f>SUM(March!AG20)</f>
        <v>10</v>
      </c>
      <c r="P31" s="576">
        <f t="shared" si="4"/>
        <v>107</v>
      </c>
      <c r="Q31" s="530"/>
    </row>
    <row r="32" spans="2:17" ht="21">
      <c r="B32" s="501"/>
      <c r="C32" s="359" t="s">
        <v>105</v>
      </c>
      <c r="D32" s="166">
        <f>SUM(April!AF23)</f>
        <v>10</v>
      </c>
      <c r="E32" s="217">
        <f>SUM(May!AG23)</f>
        <v>10</v>
      </c>
      <c r="F32" s="166">
        <f>SUM(June!AF23)</f>
        <v>8</v>
      </c>
      <c r="G32" s="217">
        <f>SUM(July!AG23)</f>
        <v>8</v>
      </c>
      <c r="H32" s="361">
        <f>SUM(August!AG23)</f>
        <v>10</v>
      </c>
      <c r="I32" s="165">
        <f>SUM(September!AF23)</f>
        <v>10</v>
      </c>
      <c r="J32" s="361">
        <f>SUM(October!AG23)</f>
        <v>10</v>
      </c>
      <c r="K32" s="165">
        <f>SUM(November!AF23)</f>
        <v>10</v>
      </c>
      <c r="L32" s="361">
        <f>SUM(December!AG23)</f>
        <v>11</v>
      </c>
      <c r="M32" s="217">
        <f>SUM(January!AG23)</f>
        <v>11</v>
      </c>
      <c r="N32" s="166">
        <f>SUM(February!AD23)</f>
        <v>8</v>
      </c>
      <c r="O32" s="217">
        <f>SUM(March!AG23)</f>
        <v>11</v>
      </c>
      <c r="P32" s="576">
        <f t="shared" si="4"/>
        <v>117</v>
      </c>
      <c r="Q32" s="530"/>
    </row>
    <row r="33" spans="2:17" ht="21" hidden="1">
      <c r="B33" s="501"/>
      <c r="C33" s="360"/>
      <c r="D33" s="166">
        <f>SUM(April!A26)</f>
        <v>0</v>
      </c>
      <c r="E33" s="217">
        <f>SUM(May!AG26)</f>
        <v>0</v>
      </c>
      <c r="F33" s="166">
        <f>SUM(June!AF26)</f>
        <v>0</v>
      </c>
      <c r="G33" s="217">
        <f>SUM(July!AG26)</f>
        <v>0</v>
      </c>
      <c r="H33" s="361">
        <f>SUM(August!AG26)</f>
        <v>0</v>
      </c>
      <c r="I33" s="165">
        <f>SUM(September!AF26)</f>
        <v>0</v>
      </c>
      <c r="J33" s="361">
        <f>SUM(October!AG26)</f>
        <v>0</v>
      </c>
      <c r="K33" s="165">
        <f>SUM(November!AF26)</f>
        <v>0</v>
      </c>
      <c r="L33" s="361">
        <f>SUM(December!AG26)</f>
        <v>0</v>
      </c>
      <c r="M33" s="217">
        <f>SUM(January!AG26)</f>
        <v>0</v>
      </c>
      <c r="N33" s="166">
        <f>SUM(February!AD26)</f>
        <v>0</v>
      </c>
      <c r="O33" s="217">
        <f>SUM(March!AG26)</f>
        <v>0</v>
      </c>
      <c r="P33" s="576">
        <f t="shared" si="4"/>
        <v>0</v>
      </c>
      <c r="Q33" s="530"/>
    </row>
    <row r="34" spans="2:17" ht="21">
      <c r="B34" s="501"/>
      <c r="C34" s="360" t="s">
        <v>110</v>
      </c>
      <c r="D34" s="166">
        <f>SUM(April!AF29)</f>
        <v>8</v>
      </c>
      <c r="E34" s="217">
        <f>SUM(May!AG29)</f>
        <v>11</v>
      </c>
      <c r="F34" s="166">
        <f>SUM(June!AF29)</f>
        <v>10</v>
      </c>
      <c r="G34" s="217">
        <f>SUM(July!AG29)</f>
        <v>10</v>
      </c>
      <c r="H34" s="361">
        <f>SUM(August!AG29)</f>
        <v>11</v>
      </c>
      <c r="I34" s="165">
        <f>SUM(September!AF29)</f>
        <v>10</v>
      </c>
      <c r="J34" s="361">
        <f>SUM(October!AG29)</f>
        <v>11</v>
      </c>
      <c r="K34" s="165">
        <f>SUM(November!AF29)</f>
        <v>10</v>
      </c>
      <c r="L34" s="361">
        <f>SUM(December!AG29)</f>
        <v>10</v>
      </c>
      <c r="M34" s="217">
        <f>SUM(January!AG29)</f>
        <v>10</v>
      </c>
      <c r="N34" s="166">
        <f>SUM(February!AD29)</f>
        <v>10</v>
      </c>
      <c r="O34" s="217">
        <f>SUM(March!AG29)</f>
        <v>10</v>
      </c>
      <c r="P34" s="576">
        <f t="shared" si="4"/>
        <v>121</v>
      </c>
      <c r="Q34" s="530"/>
    </row>
    <row r="35" spans="2:17" ht="21">
      <c r="B35" s="501"/>
      <c r="C35" s="360" t="s">
        <v>107</v>
      </c>
      <c r="D35" s="166">
        <f>SUM(April!AF32)</f>
        <v>9</v>
      </c>
      <c r="E35" s="217">
        <f>SUM(May!AG32)</f>
        <v>10</v>
      </c>
      <c r="F35" s="166">
        <f>SUM(June!AF32)</f>
        <v>11</v>
      </c>
      <c r="G35" s="217">
        <f>SUM(July!AG32)</f>
        <v>11</v>
      </c>
      <c r="H35" s="361">
        <f>SUM(August!AG32)</f>
        <v>10</v>
      </c>
      <c r="I35" s="165">
        <f>SUM(September!AF32)</f>
        <v>10</v>
      </c>
      <c r="J35" s="361">
        <f>SUM(October!AG32)</f>
        <v>10</v>
      </c>
      <c r="K35" s="165">
        <f>SUM(November!AF32)</f>
        <v>10</v>
      </c>
      <c r="L35" s="361">
        <f>SUM(December!AG32)</f>
        <v>10</v>
      </c>
      <c r="M35" s="217">
        <f>SUM(January!AG32)</f>
        <v>10</v>
      </c>
      <c r="N35" s="166">
        <f>SUM(February!AD32)</f>
        <v>10</v>
      </c>
      <c r="O35" s="217">
        <f>SUM(March!AG32)</f>
        <v>10</v>
      </c>
      <c r="P35" s="576">
        <f t="shared" si="4"/>
        <v>121</v>
      </c>
      <c r="Q35" s="530"/>
    </row>
    <row r="36" spans="2:17" ht="21">
      <c r="B36" s="501"/>
      <c r="C36" s="362"/>
      <c r="D36" s="166"/>
      <c r="E36" s="217"/>
      <c r="F36" s="166"/>
      <c r="G36" s="217"/>
      <c r="H36" s="361"/>
      <c r="I36" s="165"/>
      <c r="J36" s="361"/>
      <c r="K36" s="165"/>
      <c r="L36" s="361"/>
      <c r="M36" s="217"/>
      <c r="N36" s="166"/>
      <c r="O36" s="217"/>
      <c r="P36" s="576"/>
      <c r="Q36" s="530"/>
    </row>
    <row r="37" spans="2:17" ht="21">
      <c r="B37" s="501"/>
      <c r="C37" s="359"/>
      <c r="D37" s="166"/>
      <c r="E37" s="217"/>
      <c r="F37" s="166"/>
      <c r="G37" s="217"/>
      <c r="H37" s="361"/>
      <c r="I37" s="165"/>
      <c r="J37" s="361"/>
      <c r="K37" s="165"/>
      <c r="L37" s="361"/>
      <c r="M37" s="217"/>
      <c r="N37" s="166"/>
      <c r="O37" s="217"/>
      <c r="P37" s="576"/>
      <c r="Q37" s="530"/>
    </row>
    <row r="38" spans="2:17" ht="21.6" thickBot="1">
      <c r="B38" s="501"/>
      <c r="C38" s="363"/>
      <c r="D38" s="356"/>
      <c r="E38" s="217"/>
      <c r="F38" s="166"/>
      <c r="G38" s="217"/>
      <c r="H38" s="361"/>
      <c r="I38" s="165"/>
      <c r="J38" s="361"/>
      <c r="K38" s="165"/>
      <c r="L38" s="361"/>
      <c r="M38" s="217"/>
      <c r="N38" s="166"/>
      <c r="O38" s="217"/>
      <c r="P38" s="576">
        <f t="shared" si="4"/>
        <v>0</v>
      </c>
      <c r="Q38" s="530"/>
    </row>
    <row r="39" spans="2:17" ht="21.6" thickBot="1">
      <c r="B39" s="501"/>
      <c r="C39" s="532"/>
      <c r="D39" s="533"/>
      <c r="E39" s="533"/>
      <c r="F39" s="533"/>
      <c r="G39" s="533"/>
      <c r="H39" s="533"/>
      <c r="I39" s="533"/>
      <c r="J39" s="533"/>
      <c r="K39" s="533"/>
      <c r="L39" s="533"/>
      <c r="M39" s="533"/>
      <c r="N39" s="533"/>
      <c r="O39" s="533"/>
      <c r="P39" s="533"/>
      <c r="Q39" s="530"/>
    </row>
    <row r="40" spans="2:17" ht="25.15" thickBot="1">
      <c r="B40" s="529"/>
      <c r="C40" s="364" t="s">
        <v>100</v>
      </c>
      <c r="D40" s="174"/>
      <c r="E40" s="174"/>
      <c r="F40" s="174"/>
      <c r="G40" s="174"/>
      <c r="H40" s="174"/>
      <c r="I40" s="174"/>
      <c r="J40" s="174"/>
      <c r="K40" s="174"/>
      <c r="L40" s="174"/>
      <c r="M40" s="174"/>
      <c r="N40" s="174"/>
      <c r="O40" s="174"/>
      <c r="P40" s="172"/>
      <c r="Q40" s="501"/>
    </row>
    <row r="41" spans="2:17" ht="25.15" thickBot="1">
      <c r="B41" s="529"/>
      <c r="C41" s="364" t="s">
        <v>111</v>
      </c>
      <c r="D41" s="174"/>
      <c r="E41" s="174"/>
      <c r="F41" s="174"/>
      <c r="G41" s="174"/>
      <c r="H41" s="174"/>
      <c r="I41" s="174"/>
      <c r="J41" s="174"/>
      <c r="K41" s="174"/>
      <c r="L41" s="174"/>
      <c r="M41" s="174"/>
      <c r="N41" s="174"/>
      <c r="O41" s="174"/>
      <c r="P41" s="172"/>
      <c r="Q41" s="501"/>
    </row>
    <row r="42" spans="2:17" ht="25.15" thickBot="1">
      <c r="B42" s="529"/>
      <c r="C42" s="364" t="s">
        <v>112</v>
      </c>
      <c r="D42" s="174"/>
      <c r="E42" s="174"/>
      <c r="F42" s="174"/>
      <c r="G42" s="174"/>
      <c r="H42" s="174"/>
      <c r="I42" s="174"/>
      <c r="J42" s="174"/>
      <c r="K42" s="174"/>
      <c r="L42" s="174"/>
      <c r="M42" s="174"/>
      <c r="N42" s="174"/>
      <c r="O42" s="174"/>
      <c r="P42" s="172"/>
      <c r="Q42" s="501"/>
    </row>
    <row r="43" spans="2:17" ht="25.15" thickBot="1">
      <c r="B43" s="529"/>
      <c r="C43" s="364" t="s">
        <v>113</v>
      </c>
      <c r="D43" s="174"/>
      <c r="E43" s="174"/>
      <c r="F43" s="174"/>
      <c r="G43" s="174"/>
      <c r="H43" s="174"/>
      <c r="I43" s="174"/>
      <c r="J43" s="174"/>
      <c r="K43" s="174"/>
      <c r="L43" s="174"/>
      <c r="M43" s="174"/>
      <c r="N43" s="174"/>
      <c r="O43" s="174"/>
      <c r="P43" s="172"/>
      <c r="Q43" s="501"/>
    </row>
    <row r="44" spans="2:17" ht="25.15" thickBot="1">
      <c r="B44" s="529"/>
      <c r="C44" s="364" t="s">
        <v>105</v>
      </c>
      <c r="D44" s="174"/>
      <c r="E44" s="174"/>
      <c r="F44" s="174"/>
      <c r="G44" s="174"/>
      <c r="H44" s="174"/>
      <c r="I44" s="174"/>
      <c r="J44" s="174"/>
      <c r="K44" s="174"/>
      <c r="L44" s="174"/>
      <c r="M44" s="174"/>
      <c r="N44" s="174"/>
      <c r="O44" s="174"/>
      <c r="P44" s="172"/>
      <c r="Q44" s="501"/>
    </row>
    <row r="45" spans="2:17" ht="25.9" hidden="1" thickBot="1">
      <c r="B45" s="528"/>
      <c r="C45" s="364"/>
      <c r="D45" s="174"/>
      <c r="E45" s="174"/>
      <c r="F45" s="174"/>
      <c r="G45" s="174"/>
      <c r="H45" s="174"/>
      <c r="I45" s="174"/>
      <c r="J45" s="174"/>
      <c r="K45" s="174"/>
      <c r="L45" s="174"/>
      <c r="M45" s="174"/>
      <c r="N45" s="174"/>
      <c r="O45" s="174"/>
      <c r="P45" s="172"/>
      <c r="Q45" s="501"/>
    </row>
    <row r="46" spans="2:17" ht="25.9" thickBot="1">
      <c r="B46" s="528"/>
      <c r="C46" s="364" t="s">
        <v>104</v>
      </c>
      <c r="D46" s="174"/>
      <c r="E46" s="174"/>
      <c r="F46" s="174"/>
      <c r="G46" s="174"/>
      <c r="H46" s="174"/>
      <c r="I46" s="174"/>
      <c r="J46" s="174"/>
      <c r="K46" s="174"/>
      <c r="L46" s="174"/>
      <c r="M46" s="174"/>
      <c r="N46" s="174"/>
      <c r="O46" s="174"/>
      <c r="P46" s="172"/>
      <c r="Q46" s="501"/>
    </row>
    <row r="47" spans="2:17" ht="25.9" thickBot="1">
      <c r="B47" s="528"/>
      <c r="C47" s="364" t="s">
        <v>110</v>
      </c>
      <c r="D47" s="174"/>
      <c r="E47" s="174"/>
      <c r="F47" s="174"/>
      <c r="G47" s="174"/>
      <c r="H47" s="174"/>
      <c r="I47" s="174"/>
      <c r="J47" s="174"/>
      <c r="K47" s="174"/>
      <c r="L47" s="174"/>
      <c r="M47" s="174"/>
      <c r="N47" s="174"/>
      <c r="O47" s="174"/>
      <c r="P47" s="172"/>
      <c r="Q47" s="501"/>
    </row>
    <row r="48" spans="2:17" ht="24" thickBot="1">
      <c r="B48" s="501"/>
      <c r="C48" s="364"/>
      <c r="D48" s="174"/>
      <c r="E48" s="174"/>
      <c r="F48" s="174"/>
      <c r="G48" s="174"/>
      <c r="H48" s="174"/>
      <c r="I48" s="174"/>
      <c r="J48" s="174"/>
      <c r="K48" s="174"/>
      <c r="L48" s="174"/>
      <c r="M48" s="174"/>
      <c r="N48" s="174"/>
      <c r="O48" s="174"/>
      <c r="P48" s="172"/>
      <c r="Q48" s="501"/>
    </row>
    <row r="49" spans="2:17" ht="24" thickBot="1">
      <c r="B49" s="501"/>
      <c r="C49" s="364"/>
      <c r="D49" s="174"/>
      <c r="E49" s="174"/>
      <c r="F49" s="174"/>
      <c r="G49" s="174"/>
      <c r="H49" s="174"/>
      <c r="I49" s="174"/>
      <c r="J49" s="174"/>
      <c r="K49" s="174"/>
      <c r="L49" s="174"/>
      <c r="M49" s="174"/>
      <c r="N49" s="174"/>
      <c r="O49" s="174"/>
      <c r="P49" s="172"/>
      <c r="Q49" s="501"/>
    </row>
    <row r="50" spans="2:17" ht="15" customHeight="1">
      <c r="B50" s="501"/>
      <c r="C50" s="691" t="s">
        <v>114</v>
      </c>
      <c r="D50" s="692"/>
      <c r="E50" s="692"/>
      <c r="F50" s="692"/>
      <c r="G50" s="692"/>
      <c r="H50" s="692"/>
      <c r="I50" s="692"/>
      <c r="J50" s="692"/>
      <c r="K50" s="692"/>
      <c r="L50" s="692"/>
      <c r="M50" s="692"/>
      <c r="N50" s="692"/>
      <c r="O50" s="692"/>
      <c r="P50" s="692"/>
      <c r="Q50" s="501"/>
    </row>
    <row r="51" spans="2:17">
      <c r="B51" s="501"/>
      <c r="C51" s="693"/>
      <c r="D51" s="693"/>
      <c r="E51" s="693"/>
      <c r="F51" s="693"/>
      <c r="G51" s="693"/>
      <c r="H51" s="693"/>
      <c r="I51" s="693"/>
      <c r="J51" s="693"/>
      <c r="K51" s="693"/>
      <c r="L51" s="693"/>
      <c r="M51" s="693"/>
      <c r="N51" s="693"/>
      <c r="O51" s="693"/>
      <c r="P51" s="693"/>
      <c r="Q51" s="501"/>
    </row>
    <row r="52" spans="2:17">
      <c r="B52" s="501"/>
      <c r="C52" s="693"/>
      <c r="D52" s="693"/>
      <c r="E52" s="693"/>
      <c r="F52" s="693"/>
      <c r="G52" s="693"/>
      <c r="H52" s="693"/>
      <c r="I52" s="693"/>
      <c r="J52" s="693"/>
      <c r="K52" s="693"/>
      <c r="L52" s="693"/>
      <c r="M52" s="693"/>
      <c r="N52" s="693"/>
      <c r="O52" s="693"/>
      <c r="P52" s="693"/>
      <c r="Q52" s="501"/>
    </row>
    <row r="53" spans="2:17">
      <c r="B53" s="501"/>
      <c r="C53" s="693"/>
      <c r="D53" s="693"/>
      <c r="E53" s="693"/>
      <c r="F53" s="693"/>
      <c r="G53" s="693"/>
      <c r="H53" s="693"/>
      <c r="I53" s="693"/>
      <c r="J53" s="693"/>
      <c r="K53" s="693"/>
      <c r="L53" s="693"/>
      <c r="M53" s="693"/>
      <c r="N53" s="693"/>
      <c r="O53" s="693"/>
      <c r="P53" s="693"/>
      <c r="Q53" s="501"/>
    </row>
    <row r="54" spans="2:17">
      <c r="B54" s="501"/>
      <c r="C54" s="693"/>
      <c r="D54" s="693"/>
      <c r="E54" s="693"/>
      <c r="F54" s="693"/>
      <c r="G54" s="693"/>
      <c r="H54" s="693"/>
      <c r="I54" s="693"/>
      <c r="J54" s="693"/>
      <c r="K54" s="693"/>
      <c r="L54" s="693"/>
      <c r="M54" s="693"/>
      <c r="N54" s="693"/>
      <c r="O54" s="693"/>
      <c r="P54" s="693"/>
      <c r="Q54" s="501"/>
    </row>
    <row r="55" spans="2:17">
      <c r="B55" s="501"/>
      <c r="C55" s="705"/>
      <c r="D55" s="705"/>
      <c r="E55" s="705"/>
      <c r="F55" s="705"/>
      <c r="G55" s="705"/>
      <c r="H55" s="705"/>
      <c r="I55" s="705"/>
      <c r="J55" s="705"/>
      <c r="K55" s="705"/>
      <c r="L55" s="705"/>
      <c r="M55" s="705"/>
      <c r="N55" s="705"/>
      <c r="O55" s="705"/>
      <c r="P55" s="705"/>
      <c r="Q55" s="501"/>
    </row>
    <row r="56" spans="2:17">
      <c r="B56" s="501"/>
      <c r="C56" s="531"/>
      <c r="D56" s="531"/>
      <c r="E56" s="531"/>
      <c r="F56" s="531"/>
      <c r="G56" s="531"/>
      <c r="H56" s="531"/>
      <c r="I56" s="531"/>
      <c r="J56" s="531"/>
      <c r="K56" s="531"/>
      <c r="L56" s="531"/>
      <c r="M56" s="531"/>
      <c r="N56" s="531"/>
      <c r="O56" s="531"/>
      <c r="P56" s="531"/>
      <c r="Q56" s="501"/>
    </row>
    <row r="57" spans="2:17" ht="21">
      <c r="B57" s="501"/>
      <c r="C57" s="578"/>
      <c r="D57" s="579"/>
      <c r="E57" s="579"/>
      <c r="F57" s="579"/>
      <c r="G57" s="578"/>
      <c r="H57" s="578"/>
      <c r="I57" s="531"/>
      <c r="J57" s="531"/>
      <c r="K57" s="531"/>
      <c r="L57" s="531"/>
      <c r="M57" s="531"/>
      <c r="N57" s="531"/>
      <c r="O57" s="531"/>
      <c r="P57" s="531"/>
      <c r="Q57" s="501"/>
    </row>
    <row r="58" spans="2:17" ht="21">
      <c r="B58" s="501"/>
      <c r="C58" s="579"/>
      <c r="D58" s="579"/>
      <c r="E58" s="579"/>
      <c r="F58" s="579"/>
      <c r="G58" s="578"/>
      <c r="H58" s="580"/>
      <c r="I58" s="577">
        <v>3</v>
      </c>
      <c r="J58" s="501"/>
      <c r="K58" s="501"/>
      <c r="L58" s="501"/>
      <c r="M58" s="501"/>
      <c r="N58" s="501"/>
      <c r="O58" s="501"/>
      <c r="P58" s="501"/>
      <c r="Q58" s="501"/>
    </row>
    <row r="59" spans="2:17" ht="21">
      <c r="B59" s="501"/>
      <c r="C59" s="581"/>
      <c r="D59" s="581"/>
      <c r="E59" s="581"/>
      <c r="F59" s="581"/>
      <c r="G59" s="581"/>
      <c r="H59" s="581"/>
      <c r="I59" s="501"/>
      <c r="J59" s="501"/>
      <c r="K59" s="501"/>
      <c r="L59" s="501"/>
      <c r="M59" s="501"/>
      <c r="N59" s="501"/>
      <c r="O59" s="501"/>
      <c r="P59" s="501"/>
      <c r="Q59" s="501"/>
    </row>
    <row r="60" spans="2:17" ht="21">
      <c r="C60" s="582"/>
      <c r="D60" s="583"/>
      <c r="E60" s="583"/>
      <c r="F60" s="583"/>
      <c r="G60" s="583"/>
      <c r="H60" s="583"/>
    </row>
    <row r="61" spans="2:17" ht="21">
      <c r="C61" s="582"/>
      <c r="D61" s="583"/>
      <c r="E61" s="583"/>
      <c r="F61" s="583"/>
      <c r="G61" s="583"/>
      <c r="H61" s="583"/>
    </row>
    <row r="62" spans="2:17" ht="21">
      <c r="C62" s="584"/>
      <c r="D62" s="583"/>
      <c r="E62" s="583"/>
      <c r="F62" s="583"/>
      <c r="G62" s="583"/>
      <c r="H62" s="583"/>
    </row>
    <row r="63" spans="2:17" ht="21">
      <c r="C63" s="582"/>
      <c r="D63" s="583"/>
      <c r="E63" s="583"/>
      <c r="F63" s="583"/>
      <c r="G63" s="583"/>
      <c r="H63" s="583"/>
    </row>
    <row r="64" spans="2:17" ht="21">
      <c r="C64" s="584"/>
      <c r="D64" s="583"/>
      <c r="E64" s="583"/>
      <c r="F64" s="583"/>
      <c r="G64" s="583"/>
      <c r="H64" s="583"/>
    </row>
    <row r="65" spans="3:8" ht="21">
      <c r="C65" s="584"/>
      <c r="D65" s="583"/>
      <c r="E65" s="583"/>
      <c r="F65" s="583"/>
      <c r="G65" s="583"/>
      <c r="H65" s="583"/>
    </row>
    <row r="66" spans="3:8" ht="21">
      <c r="C66" s="584"/>
      <c r="D66" s="585"/>
      <c r="E66" s="585"/>
      <c r="F66" s="585"/>
      <c r="G66" s="585"/>
      <c r="H66" s="586"/>
    </row>
    <row r="67" spans="3:8" ht="21">
      <c r="C67" s="584"/>
      <c r="D67" s="585"/>
      <c r="E67" s="585"/>
      <c r="F67" s="585"/>
      <c r="G67" s="585"/>
      <c r="H67" s="586"/>
    </row>
    <row r="68" spans="3:8" ht="21">
      <c r="C68" s="584"/>
      <c r="D68" s="585"/>
      <c r="E68" s="585"/>
      <c r="F68" s="585"/>
      <c r="G68" s="585"/>
      <c r="H68" s="586"/>
    </row>
    <row r="69" spans="3:8" ht="21">
      <c r="C69" s="582"/>
      <c r="D69" s="585"/>
      <c r="E69" s="585"/>
      <c r="F69" s="585"/>
      <c r="G69" s="585"/>
      <c r="H69" s="585"/>
    </row>
    <row r="70" spans="3:8" ht="21">
      <c r="C70" s="582"/>
      <c r="D70" s="585"/>
      <c r="E70" s="585"/>
      <c r="F70" s="585"/>
      <c r="G70" s="585"/>
      <c r="H70" s="585"/>
    </row>
  </sheetData>
  <mergeCells count="3">
    <mergeCell ref="D5:O6"/>
    <mergeCell ref="D24:O25"/>
    <mergeCell ref="C50:P5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F847-27B8-0849-9CC1-A361CAEFCA0A}">
  <sheetPr>
    <tabColor theme="7"/>
  </sheetPr>
  <dimension ref="C3:M25"/>
  <sheetViews>
    <sheetView showGridLines="0" topLeftCell="B1" zoomScale="56" zoomScaleNormal="70" workbookViewId="0">
      <selection activeCell="T13" sqref="T13"/>
    </sheetView>
  </sheetViews>
  <sheetFormatPr defaultColWidth="11.42578125" defaultRowHeight="14.45"/>
  <cols>
    <col min="3" max="3" width="30.42578125" customWidth="1"/>
    <col min="4" max="4" width="11.42578125" customWidth="1"/>
    <col min="5" max="5" width="10" customWidth="1"/>
    <col min="6" max="6" width="9.7109375" customWidth="1"/>
    <col min="7" max="7" width="16.7109375" customWidth="1"/>
    <col min="9" max="9" width="30" customWidth="1"/>
    <col min="13" max="13" width="14.42578125" customWidth="1"/>
  </cols>
  <sheetData>
    <row r="3" spans="3:13" ht="15" thickBot="1"/>
    <row r="4" spans="3:13" ht="32.450000000000003" thickTop="1" thickBot="1">
      <c r="C4" s="694" t="s">
        <v>115</v>
      </c>
      <c r="D4" s="695"/>
      <c r="E4" s="695"/>
      <c r="F4" s="695"/>
      <c r="G4" s="696"/>
      <c r="I4" s="694" t="s">
        <v>116</v>
      </c>
      <c r="J4" s="695"/>
      <c r="K4" s="695"/>
      <c r="L4" s="695"/>
      <c r="M4" s="696"/>
    </row>
    <row r="5" spans="3:13" ht="24.6">
      <c r="C5" s="699"/>
      <c r="D5" s="697" t="s">
        <v>117</v>
      </c>
      <c r="E5" s="697" t="s">
        <v>69</v>
      </c>
      <c r="F5" s="697" t="s">
        <v>118</v>
      </c>
      <c r="G5" s="669" t="s">
        <v>11</v>
      </c>
      <c r="I5" s="699"/>
      <c r="J5" s="697" t="s">
        <v>119</v>
      </c>
      <c r="K5" s="697" t="s">
        <v>120</v>
      </c>
      <c r="L5" s="697" t="s">
        <v>121</v>
      </c>
      <c r="M5" s="669" t="s">
        <v>11</v>
      </c>
    </row>
    <row r="6" spans="3:13" ht="24.6">
      <c r="C6" s="700"/>
      <c r="D6" s="698"/>
      <c r="E6" s="698"/>
      <c r="F6" s="698"/>
      <c r="G6" s="668" t="s">
        <v>122</v>
      </c>
      <c r="I6" s="700"/>
      <c r="J6" s="698"/>
      <c r="K6" s="698"/>
      <c r="L6" s="698"/>
      <c r="M6" s="668" t="s">
        <v>122</v>
      </c>
    </row>
    <row r="7" spans="3:13" ht="24.6">
      <c r="C7" s="660" t="s">
        <v>112</v>
      </c>
      <c r="D7" s="661">
        <v>0</v>
      </c>
      <c r="E7" s="661">
        <v>0</v>
      </c>
      <c r="F7" s="661">
        <v>0</v>
      </c>
      <c r="G7" s="662">
        <f t="shared" ref="G7:G13" si="0">IF(COUNTIF(D7:F7,0)&gt;0,0,MIN(0,(D7+E7+F7)-(162.5*3)))</f>
        <v>0</v>
      </c>
      <c r="I7" s="660" t="s">
        <v>112</v>
      </c>
      <c r="J7" s="661">
        <v>0</v>
      </c>
      <c r="K7" s="661">
        <v>0</v>
      </c>
      <c r="L7" s="661">
        <v>0</v>
      </c>
      <c r="M7" s="662">
        <f t="shared" ref="M7:M13" si="1">IF(COUNTIF(J7:L7,0)&gt;0,0,MIN(0,(J7+K7+L7)-(162.5*3)))</f>
        <v>0</v>
      </c>
    </row>
    <row r="8" spans="3:13" ht="24.6">
      <c r="C8" s="663" t="s">
        <v>104</v>
      </c>
      <c r="D8" s="664">
        <v>0</v>
      </c>
      <c r="E8" s="664">
        <v>0</v>
      </c>
      <c r="F8" s="664">
        <v>0</v>
      </c>
      <c r="G8" s="670">
        <f t="shared" si="0"/>
        <v>0</v>
      </c>
      <c r="I8" s="663" t="s">
        <v>104</v>
      </c>
      <c r="J8" s="664">
        <v>0</v>
      </c>
      <c r="K8" s="664">
        <v>0</v>
      </c>
      <c r="L8" s="664">
        <v>0</v>
      </c>
      <c r="M8" s="670">
        <f t="shared" si="1"/>
        <v>0</v>
      </c>
    </row>
    <row r="9" spans="3:13" ht="24.6">
      <c r="C9" s="660" t="s">
        <v>123</v>
      </c>
      <c r="D9" s="661">
        <v>0</v>
      </c>
      <c r="E9" s="661">
        <v>0</v>
      </c>
      <c r="F9" s="661">
        <v>0</v>
      </c>
      <c r="G9" s="662">
        <f t="shared" si="0"/>
        <v>0</v>
      </c>
      <c r="I9" s="660" t="s">
        <v>123</v>
      </c>
      <c r="J9" s="661">
        <v>0</v>
      </c>
      <c r="K9" s="661">
        <v>0</v>
      </c>
      <c r="L9" s="661">
        <v>0</v>
      </c>
      <c r="M9" s="662">
        <f t="shared" si="1"/>
        <v>0</v>
      </c>
    </row>
    <row r="10" spans="3:13" ht="24.6">
      <c r="C10" s="663" t="s">
        <v>106</v>
      </c>
      <c r="D10" s="664">
        <v>0</v>
      </c>
      <c r="E10" s="664">
        <v>0</v>
      </c>
      <c r="F10" s="664">
        <v>0</v>
      </c>
      <c r="G10" s="670">
        <f t="shared" si="0"/>
        <v>0</v>
      </c>
      <c r="I10" s="663" t="s">
        <v>106</v>
      </c>
      <c r="J10" s="664">
        <v>0</v>
      </c>
      <c r="K10" s="664">
        <v>0</v>
      </c>
      <c r="L10" s="664">
        <v>0</v>
      </c>
      <c r="M10" s="670">
        <f t="shared" si="1"/>
        <v>0</v>
      </c>
    </row>
    <row r="11" spans="3:13" ht="24.6">
      <c r="C11" s="660" t="s">
        <v>101</v>
      </c>
      <c r="D11" s="661">
        <v>0</v>
      </c>
      <c r="E11" s="661">
        <v>0</v>
      </c>
      <c r="F11" s="661">
        <v>0</v>
      </c>
      <c r="G11" s="662">
        <f t="shared" si="0"/>
        <v>0</v>
      </c>
      <c r="I11" s="660" t="s">
        <v>101</v>
      </c>
      <c r="J11" s="661">
        <v>0</v>
      </c>
      <c r="K11" s="661">
        <v>0</v>
      </c>
      <c r="L11" s="661">
        <v>0</v>
      </c>
      <c r="M11" s="662">
        <f t="shared" si="1"/>
        <v>0</v>
      </c>
    </row>
    <row r="12" spans="3:13" ht="24.6">
      <c r="C12" s="663" t="s">
        <v>105</v>
      </c>
      <c r="D12" s="664">
        <v>0</v>
      </c>
      <c r="E12" s="664">
        <v>0</v>
      </c>
      <c r="F12" s="664">
        <v>0</v>
      </c>
      <c r="G12" s="670">
        <f t="shared" si="0"/>
        <v>0</v>
      </c>
      <c r="I12" s="663" t="s">
        <v>105</v>
      </c>
      <c r="J12" s="664">
        <v>0</v>
      </c>
      <c r="K12" s="664">
        <v>0</v>
      </c>
      <c r="L12" s="664">
        <v>0</v>
      </c>
      <c r="M12" s="670">
        <f t="shared" si="1"/>
        <v>0</v>
      </c>
    </row>
    <row r="13" spans="3:13" ht="25.15" thickBot="1">
      <c r="C13" s="667" t="s">
        <v>107</v>
      </c>
      <c r="D13" s="665">
        <v>0</v>
      </c>
      <c r="E13" s="665">
        <v>0</v>
      </c>
      <c r="F13" s="671">
        <v>0</v>
      </c>
      <c r="G13" s="666">
        <f t="shared" si="0"/>
        <v>0</v>
      </c>
      <c r="I13" s="667" t="s">
        <v>107</v>
      </c>
      <c r="J13" s="665">
        <v>0</v>
      </c>
      <c r="K13" s="665">
        <v>0</v>
      </c>
      <c r="L13" s="665">
        <v>0</v>
      </c>
      <c r="M13" s="666">
        <f t="shared" si="1"/>
        <v>0</v>
      </c>
    </row>
    <row r="14" spans="3:13" ht="15.6" thickTop="1" thickBot="1"/>
    <row r="15" spans="3:13" ht="34.15" customHeight="1" thickTop="1" thickBot="1">
      <c r="C15" s="694" t="s">
        <v>124</v>
      </c>
      <c r="D15" s="695"/>
      <c r="E15" s="695"/>
      <c r="F15" s="695"/>
      <c r="G15" s="696"/>
      <c r="I15" s="694" t="s">
        <v>125</v>
      </c>
      <c r="J15" s="695"/>
      <c r="K15" s="695"/>
      <c r="L15" s="695"/>
      <c r="M15" s="696"/>
    </row>
    <row r="16" spans="3:13" ht="24.6">
      <c r="C16" s="699"/>
      <c r="D16" s="697" t="s">
        <v>126</v>
      </c>
      <c r="E16" s="697" t="s">
        <v>127</v>
      </c>
      <c r="F16" s="697" t="s">
        <v>128</v>
      </c>
      <c r="G16" s="669" t="s">
        <v>11</v>
      </c>
      <c r="I16" s="699"/>
      <c r="J16" s="697" t="s">
        <v>129</v>
      </c>
      <c r="K16" s="697" t="s">
        <v>130</v>
      </c>
      <c r="L16" s="697" t="s">
        <v>131</v>
      </c>
      <c r="M16" s="669" t="s">
        <v>11</v>
      </c>
    </row>
    <row r="17" spans="3:13" ht="24.6">
      <c r="C17" s="700"/>
      <c r="D17" s="698"/>
      <c r="E17" s="698"/>
      <c r="F17" s="698"/>
      <c r="G17" s="668" t="s">
        <v>122</v>
      </c>
      <c r="I17" s="700"/>
      <c r="J17" s="698"/>
      <c r="K17" s="698"/>
      <c r="L17" s="698"/>
      <c r="M17" s="668" t="s">
        <v>122</v>
      </c>
    </row>
    <row r="18" spans="3:13" ht="24.6">
      <c r="C18" s="660" t="s">
        <v>112</v>
      </c>
      <c r="D18" s="661">
        <v>0</v>
      </c>
      <c r="E18" s="661">
        <v>0</v>
      </c>
      <c r="F18" s="661">
        <v>0</v>
      </c>
      <c r="G18" s="662">
        <f t="shared" ref="G18:G24" si="2">IF(COUNTIF(D18:F18,0)&gt;0,0,MIN(0,(D18+E18+F18)-(162.5*3)))</f>
        <v>0</v>
      </c>
      <c r="I18" s="660" t="s">
        <v>112</v>
      </c>
      <c r="J18" s="661">
        <v>0</v>
      </c>
      <c r="K18" s="661">
        <v>0</v>
      </c>
      <c r="L18" s="661">
        <v>0</v>
      </c>
      <c r="M18" s="662">
        <f t="shared" ref="M18:M24" si="3">IF(COUNTIF(J18:L18,0)&gt;0,0,MIN(0,(J18+K18+L18)-(162.5*3)))</f>
        <v>0</v>
      </c>
    </row>
    <row r="19" spans="3:13" ht="24.6">
      <c r="C19" s="663" t="s">
        <v>104</v>
      </c>
      <c r="D19" s="664">
        <v>0</v>
      </c>
      <c r="E19" s="664">
        <v>0</v>
      </c>
      <c r="F19" s="664">
        <v>0</v>
      </c>
      <c r="G19" s="670">
        <f t="shared" si="2"/>
        <v>0</v>
      </c>
      <c r="I19" s="663" t="s">
        <v>104</v>
      </c>
      <c r="J19" s="664">
        <v>0</v>
      </c>
      <c r="K19" s="664">
        <v>0</v>
      </c>
      <c r="L19" s="664">
        <v>0</v>
      </c>
      <c r="M19" s="670">
        <f t="shared" si="3"/>
        <v>0</v>
      </c>
    </row>
    <row r="20" spans="3:13" ht="24.6">
      <c r="C20" s="660" t="s">
        <v>123</v>
      </c>
      <c r="D20" s="661">
        <v>0</v>
      </c>
      <c r="E20" s="661">
        <v>0</v>
      </c>
      <c r="F20" s="661">
        <v>0</v>
      </c>
      <c r="G20" s="662">
        <f t="shared" si="2"/>
        <v>0</v>
      </c>
      <c r="I20" s="660" t="s">
        <v>123</v>
      </c>
      <c r="J20" s="661">
        <v>0</v>
      </c>
      <c r="K20" s="661">
        <v>0</v>
      </c>
      <c r="L20" s="661">
        <v>0</v>
      </c>
      <c r="M20" s="662">
        <f t="shared" si="3"/>
        <v>0</v>
      </c>
    </row>
    <row r="21" spans="3:13" ht="24.6">
      <c r="C21" s="663" t="s">
        <v>106</v>
      </c>
      <c r="D21" s="664">
        <v>0</v>
      </c>
      <c r="E21" s="664">
        <v>0</v>
      </c>
      <c r="F21" s="664">
        <v>0</v>
      </c>
      <c r="G21" s="670">
        <f t="shared" si="2"/>
        <v>0</v>
      </c>
      <c r="I21" s="663" t="s">
        <v>106</v>
      </c>
      <c r="J21" s="664">
        <v>0</v>
      </c>
      <c r="K21" s="664">
        <v>0</v>
      </c>
      <c r="L21" s="664">
        <v>0</v>
      </c>
      <c r="M21" s="670">
        <f t="shared" si="3"/>
        <v>0</v>
      </c>
    </row>
    <row r="22" spans="3:13" ht="24.6">
      <c r="C22" s="660" t="s">
        <v>101</v>
      </c>
      <c r="D22" s="661">
        <v>0</v>
      </c>
      <c r="E22" s="661">
        <v>0</v>
      </c>
      <c r="F22" s="661">
        <v>0</v>
      </c>
      <c r="G22" s="662">
        <f t="shared" si="2"/>
        <v>0</v>
      </c>
      <c r="I22" s="660" t="s">
        <v>101</v>
      </c>
      <c r="J22" s="661">
        <v>0</v>
      </c>
      <c r="K22" s="661">
        <v>0</v>
      </c>
      <c r="L22" s="661">
        <v>0</v>
      </c>
      <c r="M22" s="662">
        <f t="shared" si="3"/>
        <v>0</v>
      </c>
    </row>
    <row r="23" spans="3:13" ht="24.6">
      <c r="C23" s="663" t="s">
        <v>105</v>
      </c>
      <c r="D23" s="664">
        <v>0</v>
      </c>
      <c r="E23" s="664">
        <v>0</v>
      </c>
      <c r="F23" s="664">
        <v>0</v>
      </c>
      <c r="G23" s="670">
        <f t="shared" si="2"/>
        <v>0</v>
      </c>
      <c r="I23" s="663" t="s">
        <v>105</v>
      </c>
      <c r="J23" s="664">
        <v>0</v>
      </c>
      <c r="K23" s="664">
        <v>0</v>
      </c>
      <c r="L23" s="664">
        <v>0</v>
      </c>
      <c r="M23" s="670">
        <f t="shared" si="3"/>
        <v>0</v>
      </c>
    </row>
    <row r="24" spans="3:13" ht="25.15" thickBot="1">
      <c r="C24" s="667" t="s">
        <v>107</v>
      </c>
      <c r="D24" s="665">
        <v>0</v>
      </c>
      <c r="E24" s="665">
        <v>0</v>
      </c>
      <c r="F24" s="665">
        <v>0</v>
      </c>
      <c r="G24" s="666">
        <f t="shared" si="2"/>
        <v>0</v>
      </c>
      <c r="I24" s="667" t="s">
        <v>107</v>
      </c>
      <c r="J24" s="665">
        <v>0</v>
      </c>
      <c r="K24" s="665">
        <v>0</v>
      </c>
      <c r="L24" s="665">
        <v>0</v>
      </c>
      <c r="M24" s="666">
        <f t="shared" si="3"/>
        <v>0</v>
      </c>
    </row>
    <row r="25" spans="3:13" ht="15" thickTop="1"/>
  </sheetData>
  <mergeCells count="20">
    <mergeCell ref="J16:J17"/>
    <mergeCell ref="K16:K17"/>
    <mergeCell ref="L16:L17"/>
    <mergeCell ref="C16:C17"/>
    <mergeCell ref="D16:D17"/>
    <mergeCell ref="E16:E17"/>
    <mergeCell ref="F16:F17"/>
    <mergeCell ref="I16:I17"/>
    <mergeCell ref="C4:G4"/>
    <mergeCell ref="I4:M4"/>
    <mergeCell ref="C15:G15"/>
    <mergeCell ref="I15:M15"/>
    <mergeCell ref="D5:D6"/>
    <mergeCell ref="E5:E6"/>
    <mergeCell ref="F5:F6"/>
    <mergeCell ref="C5:C6"/>
    <mergeCell ref="I5:I6"/>
    <mergeCell ref="J5:J6"/>
    <mergeCell ref="K5:K6"/>
    <mergeCell ref="L5:L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19f378c-1861-4cf0-9aab-3d9a8653bc68">
      <Terms xmlns="http://schemas.microsoft.com/office/infopath/2007/PartnerControls"/>
    </lcf76f155ced4ddcb4097134ff3c332f>
    <TaxCatchAll xmlns="ffb39561-0705-4705-810e-421d0769da27" xsi:nil="true"/>
  </documentManagement>
</p:properties>
</file>

<file path=customXml/item2.xml><?xml version="1.0" encoding="utf-8"?>
<scriptIds xmlns="http://schemas.microsoft.com/office/extensibility/maker/v1.0" id="script-ids-node-id">
  <scriptId xmlns="" id="ms-officescript%3A%2F%2Fonedrive_business_itemlink%2F01Z46Q5UBLMZWW4SHDLJA3PJ4NY43VXONC:ms-officescript%3A%2F%2Fonedrive_business_sharinglink%2Fu!aHR0cHM6Ly9pbGVhcGFsbWNhcmVjb3VrLW15LnNoYXJlcG9pbnQuY29tLzp1Oi9nL3BlcnNvbmFsL2FsZXhfZ2FydmluX2lsZWFwYWxtY2FyZV9jb191ay9FU3RtYlc1STQxcEJ0NmVOeHpkYnVhSUI3Q0RSTXpFcDB6ajdWN042NjdqY0R3"/>
</scriptId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31337C16EA0AEF48819C46A757C7F3B5" ma:contentTypeVersion="16" ma:contentTypeDescription="Create a new document." ma:contentTypeScope="" ma:versionID="c617aef974adaddaf8a9d79b33d5b8d5">
  <xsd:schema xmlns:xsd="http://www.w3.org/2001/XMLSchema" xmlns:xs="http://www.w3.org/2001/XMLSchema" xmlns:p="http://schemas.microsoft.com/office/2006/metadata/properties" xmlns:ns2="719f378c-1861-4cf0-9aab-3d9a8653bc68" xmlns:ns3="ffb39561-0705-4705-810e-421d0769da27" targetNamespace="http://schemas.microsoft.com/office/2006/metadata/properties" ma:root="true" ma:fieldsID="5b39de3f63da2a59e8f5683ce50f282c" ns2:_="" ns3:_="">
    <xsd:import namespace="719f378c-1861-4cf0-9aab-3d9a8653bc68"/>
    <xsd:import namespace="ffb39561-0705-4705-810e-421d0769da2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9f378c-1861-4cf0-9aab-3d9a8653bc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d8c6a57e-51df-4863-8df7-0e9a78ca0f9c"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b39561-0705-4705-810e-421d0769da2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fd3e92d-5d36-47fe-b83c-75883c72c2f3}" ma:internalName="TaxCatchAll" ma:showField="CatchAllData" ma:web="ffb39561-0705-4705-810e-421d0769da2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B01F59-BC28-4CE9-8164-3BF9E185B412}"/>
</file>

<file path=customXml/itemProps2.xml><?xml version="1.0" encoding="utf-8"?>
<ds:datastoreItem xmlns:ds="http://schemas.openxmlformats.org/officeDocument/2006/customXml" ds:itemID="{4CE11A76-4E7D-9B4F-80D9-627619D2BF67}"/>
</file>

<file path=customXml/itemProps3.xml><?xml version="1.0" encoding="utf-8"?>
<ds:datastoreItem xmlns:ds="http://schemas.openxmlformats.org/officeDocument/2006/customXml" ds:itemID="{C55F5A5D-49D0-454D-BEC7-B95EFD5BB750}"/>
</file>

<file path=customXml/itemProps4.xml><?xml version="1.0" encoding="utf-8"?>
<ds:datastoreItem xmlns:ds="http://schemas.openxmlformats.org/officeDocument/2006/customXml" ds:itemID="{4BFBB1CC-732D-41A6-925E-06EE5FBB9E83}"/>
</file>

<file path=docProps/app.xml><?xml version="1.0" encoding="utf-8"?>
<Properties xmlns="http://schemas.openxmlformats.org/officeDocument/2006/extended-properties" xmlns:vt="http://schemas.openxmlformats.org/officeDocument/2006/docPropsVTypes">
  <Application>Microsoft Excel Online</Application>
  <Manager/>
  <Company>Keys Group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Staff Pitcairn</dc:creator>
  <cp:keywords/>
  <dc:description/>
  <cp:lastModifiedBy/>
  <cp:revision>5</cp:revision>
  <dcterms:created xsi:type="dcterms:W3CDTF">2019-12-16T03:08:29Z</dcterms:created>
  <dcterms:modified xsi:type="dcterms:W3CDTF">2026-02-04T06:15:59Z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Keys Group</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MediaServiceImageTags">
    <vt:lpwstr/>
  </property>
  <property fmtid="{D5CDD505-2E9C-101B-9397-08002B2CF9AE}" pid="10" name="ContentTypeId">
    <vt:lpwstr>0x01010031337C16EA0AEF48819C46A757C7F3B5</vt:lpwstr>
  </property>
</Properties>
</file>